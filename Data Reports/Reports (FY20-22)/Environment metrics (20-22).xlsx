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arkaj\OneDrive\Desktop\Deloitte UK Reports Review (FY19-24)\Data Reports\Reports (FY20-22)\"/>
    </mc:Choice>
  </mc:AlternateContent>
  <xr:revisionPtr revIDLastSave="0" documentId="13_ncr:1_{F6544444-1618-4533-9D20-2DCA5F1AD0D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6" i="1" l="1"/>
  <c r="G34" i="1"/>
  <c r="H36" i="1"/>
  <c r="G35" i="1"/>
  <c r="H35" i="1"/>
  <c r="I35" i="1"/>
  <c r="H34" i="1"/>
  <c r="I34" i="1"/>
  <c r="G33" i="1"/>
  <c r="H33" i="1"/>
  <c r="I33" i="1"/>
  <c r="G32" i="1"/>
  <c r="H32" i="1"/>
  <c r="I32" i="1"/>
  <c r="G31" i="1"/>
  <c r="H31" i="1"/>
  <c r="I31" i="1"/>
  <c r="G30" i="1"/>
  <c r="H30" i="1"/>
  <c r="I30" i="1"/>
  <c r="G29" i="1"/>
  <c r="H29" i="1"/>
  <c r="I29" i="1"/>
  <c r="G28" i="1"/>
  <c r="H28" i="1"/>
  <c r="I28" i="1"/>
  <c r="G27" i="1"/>
  <c r="H27" i="1"/>
  <c r="I27" i="1"/>
  <c r="G26" i="1"/>
  <c r="H26" i="1"/>
  <c r="I26" i="1"/>
  <c r="G25" i="1"/>
  <c r="H25" i="1"/>
  <c r="I25" i="1"/>
  <c r="G24" i="1"/>
  <c r="G22" i="1"/>
  <c r="I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H24" i="1"/>
  <c r="H23" i="1"/>
  <c r="H22" i="1"/>
  <c r="G21" i="1"/>
  <c r="H21" i="1"/>
  <c r="G20" i="1"/>
  <c r="H20" i="1"/>
  <c r="G19" i="1"/>
  <c r="H19" i="1"/>
  <c r="G18" i="1"/>
  <c r="H18" i="1"/>
  <c r="G17" i="1"/>
  <c r="H17" i="1"/>
  <c r="E10" i="1"/>
  <c r="D10" i="1"/>
  <c r="H10" i="1" s="1"/>
  <c r="C10" i="1"/>
  <c r="G16" i="1"/>
  <c r="H16" i="1"/>
  <c r="G15" i="1"/>
  <c r="H15" i="1"/>
  <c r="G14" i="1"/>
  <c r="H14" i="1"/>
  <c r="G13" i="1"/>
  <c r="H13" i="1"/>
  <c r="G12" i="1"/>
  <c r="H12" i="1"/>
  <c r="G11" i="1"/>
  <c r="H11" i="1"/>
  <c r="E5" i="1"/>
  <c r="D5" i="1"/>
  <c r="C5" i="1"/>
  <c r="G9" i="1"/>
  <c r="H9" i="1"/>
  <c r="G8" i="1"/>
  <c r="G7" i="1"/>
  <c r="H7" i="1"/>
  <c r="G6" i="1"/>
  <c r="G5" i="1"/>
  <c r="H5" i="1"/>
  <c r="H2" i="1"/>
  <c r="H3" i="1"/>
  <c r="H4" i="1"/>
  <c r="G2" i="1"/>
  <c r="G3" i="1"/>
  <c r="G4" i="1"/>
  <c r="E2" i="1"/>
  <c r="D2" i="1"/>
  <c r="C2" i="1"/>
  <c r="G10" i="1" l="1"/>
</calcChain>
</file>

<file path=xl/sharedStrings.xml><?xml version="1.0" encoding="utf-8"?>
<sst xmlns="http://schemas.openxmlformats.org/spreadsheetml/2006/main" count="52" uniqueCount="46">
  <si>
    <t>METRIC</t>
  </si>
  <si>
    <t>CATEGORY</t>
  </si>
  <si>
    <t>FY20</t>
  </si>
  <si>
    <t>FY21</t>
  </si>
  <si>
    <t>FY22</t>
  </si>
  <si>
    <t>YEARLY TRENDS</t>
  </si>
  <si>
    <t>YoY (20-21)</t>
  </si>
  <si>
    <t>YoY (21-22)</t>
  </si>
  <si>
    <t>CAGR</t>
  </si>
  <si>
    <t>Scope 1</t>
  </si>
  <si>
    <t>Fuel combustion</t>
  </si>
  <si>
    <t>Vehicle fleet (Internal combustion engine)</t>
  </si>
  <si>
    <t>Greenhouse Gas emission (tCO2)</t>
  </si>
  <si>
    <t>Scope 2</t>
  </si>
  <si>
    <t>Electricity (market-based)</t>
  </si>
  <si>
    <t>District heating and cooling</t>
  </si>
  <si>
    <t>Vehicle fleet (Electric; market-based)</t>
  </si>
  <si>
    <t>Total Operational Emissions</t>
  </si>
  <si>
    <t>NA</t>
  </si>
  <si>
    <t>Scope 3</t>
  </si>
  <si>
    <t>Business travel (excl. radiative forcing)</t>
  </si>
  <si>
    <t>Purchased goods and services</t>
  </si>
  <si>
    <t>Employee commuting and homeworking</t>
  </si>
  <si>
    <t>Total Gross Emissions</t>
  </si>
  <si>
    <t>Certified Emission Reductions (CERs)</t>
  </si>
  <si>
    <t>Total Net Emissions</t>
  </si>
  <si>
    <t>Normalised Emissions (tCO2/FTE)</t>
  </si>
  <si>
    <t>Scopes 1 &amp; 2</t>
  </si>
  <si>
    <t>Total Gross</t>
  </si>
  <si>
    <t>Other Environmental Metrics</t>
  </si>
  <si>
    <t>Fuel Consumption (kWh)</t>
  </si>
  <si>
    <t>Owned Vehicles, Internal combustion engine</t>
  </si>
  <si>
    <t>Owned Vehicles, Electric</t>
  </si>
  <si>
    <t>% of electric/plug-in hybrid vehicles in fleet</t>
  </si>
  <si>
    <t>Reimbursed Mileage &amp; Car Rentals</t>
  </si>
  <si>
    <t>Utilities Consumption (kWh)</t>
  </si>
  <si>
    <t>Gas</t>
  </si>
  <si>
    <t>% electricity from renewables</t>
  </si>
  <si>
    <t>District Cooling</t>
  </si>
  <si>
    <t>Total Energy Consumption (kWh)</t>
  </si>
  <si>
    <t xml:space="preserve">District Heating </t>
  </si>
  <si>
    <t>Water Usage (m3)</t>
  </si>
  <si>
    <t>Waste production (tonnes)</t>
  </si>
  <si>
    <t>Recycled (%)</t>
  </si>
  <si>
    <t>Diverted from Landfill (%)</t>
  </si>
  <si>
    <t>% of DTTL supply chain (by emissions) with science-based Target (SBT)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</si>
</sst>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1">
    <xf numFmtId="0" fontId="0" fillId="0" borderId="0" xfId="0"/>
    <xf numFmtId="0" fontId="4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left" vertical="center"/>
    </xf>
    <xf numFmtId="3" fontId="0" fillId="0" borderId="0" xfId="0" applyNumberFormat="1"/>
    <xf numFmtId="3" fontId="4" fillId="0" borderId="0" xfId="0" applyNumberFormat="1" applyFont="1" applyAlignment="1">
      <alignment horizontal="right" vertical="center"/>
    </xf>
    <xf numFmtId="9" fontId="4" fillId="0" borderId="0" xfId="1" applyFont="1" applyAlignment="1">
      <alignment horizontal="center" vertical="center"/>
    </xf>
    <xf numFmtId="9" fontId="3" fillId="0" borderId="0" xfId="1" applyFont="1" applyAlignment="1">
      <alignment horizontal="center" vertical="center"/>
    </xf>
    <xf numFmtId="9" fontId="0" fillId="0" borderId="0" xfId="1" applyFont="1" applyAlignment="1">
      <alignment horizontal="center"/>
    </xf>
    <xf numFmtId="3" fontId="2" fillId="0" borderId="0" xfId="0" applyNumberFormat="1" applyFont="1"/>
    <xf numFmtId="9" fontId="0" fillId="0" borderId="0" xfId="0" applyNumberFormat="1"/>
  </cellXfs>
  <cellStyles count="2">
    <cellStyle name="Normal" xfId="0" builtinId="0"/>
    <cellStyle name="Percent" xfId="1" builtinId="5"/>
  </cellStyles>
  <dxfs count="5"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alignment horizont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7E9C15C9-6586-4B76-86E4-16C80D2C4A01}" name="Table1" displayName="Table1" ref="A1:I36" totalsRowShown="0" headerRowDxfId="4">
  <autoFilter ref="A1:I36" xr:uid="{7E9C15C9-6586-4B76-86E4-16C80D2C4A01}"/>
  <tableColumns count="9">
    <tableColumn id="1" xr3:uid="{909315F3-477A-4B2F-99FC-D113D653D7CC}" name="METRIC"/>
    <tableColumn id="2" xr3:uid="{54D7C7B7-2CEC-4C9F-A5C6-B86F71402B3A}" name="CATEGORY"/>
    <tableColumn id="3" xr3:uid="{A3F13D03-335E-4137-98D8-2B8C6C36969D}" name="FY20"/>
    <tableColumn id="4" xr3:uid="{23C2AC3E-091A-4573-B8E2-810F575BE0F8}" name="FY21"/>
    <tableColumn id="5" xr3:uid="{872940C0-568C-4616-862C-37FA7C93B7E3}" name="FY22"/>
    <tableColumn id="6" xr3:uid="{9CBF0995-3C6F-4E95-9A08-1832D9AE9998}" name="YEARLY TRENDS" dataDxfId="3"/>
    <tableColumn id="7" xr3:uid="{6454F9AD-61B0-46EF-9C9B-92867415090D}" name="YoY (20-21)" dataDxfId="2" dataCellStyle="Percent">
      <calculatedColumnFormula>(Table1[[#This Row],[FY21]]-Table1[[#This Row],[FY20]])/Table1[[#This Row],[FY20]]</calculatedColumnFormula>
    </tableColumn>
    <tableColumn id="8" xr3:uid="{75E3C4AA-6FBE-49DE-A2D4-37136149DB7F}" name="YoY (21-22)" dataDxfId="1" dataCellStyle="Percent">
      <calculatedColumnFormula>(Table1[[#This Row],[FY22]]-Table1[[#This Row],[FY21]])/Table1[[#This Row],[FY21]]</calculatedColumnFormula>
    </tableColumn>
    <tableColumn id="9" xr3:uid="{AA867665-7F5B-4A82-923D-858ED096F49A}" name="CAGR" dataDxfId="0" dataCellStyle="Percent">
      <calculatedColumnFormula>((Table1[[#This Row],[FY22]]/Table1[[#This Row],[FY20]])^0.5)-1</calculatedColumnFormula>
    </tableColumn>
  </tableColumns>
  <tableStyleInfo name="TableStyleMedium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6"/>
  <sheetViews>
    <sheetView tabSelected="1" topLeftCell="A7" zoomScale="70" zoomScaleNormal="70" workbookViewId="0">
      <selection activeCell="K11" sqref="K11"/>
    </sheetView>
  </sheetViews>
  <sheetFormatPr defaultRowHeight="14.4" x14ac:dyDescent="0.3"/>
  <cols>
    <col min="1" max="1" width="28.5546875" customWidth="1"/>
    <col min="2" max="2" width="59" customWidth="1"/>
    <col min="3" max="3" width="13.44140625" customWidth="1"/>
    <col min="4" max="4" width="13.5546875" customWidth="1"/>
    <col min="5" max="5" width="13.33203125" customWidth="1"/>
    <col min="6" max="6" width="17.77734375" customWidth="1"/>
    <col min="7" max="7" width="15.88671875" style="8" customWidth="1"/>
    <col min="8" max="8" width="15.6640625" style="8" customWidth="1"/>
    <col min="9" max="9" width="11.77734375" style="8" customWidth="1"/>
  </cols>
  <sheetData>
    <row r="1" spans="1:9" s="1" customFormat="1" ht="15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6" t="s">
        <v>6</v>
      </c>
      <c r="H1" s="6" t="s">
        <v>7</v>
      </c>
      <c r="I1" s="6" t="s">
        <v>8</v>
      </c>
    </row>
    <row r="2" spans="1:9" s="1" customFormat="1" ht="15.6" x14ac:dyDescent="0.3">
      <c r="A2" s="2" t="s">
        <v>12</v>
      </c>
      <c r="B2" s="3" t="s">
        <v>9</v>
      </c>
      <c r="C2" s="5">
        <f>C3+C4</f>
        <v>3192</v>
      </c>
      <c r="D2" s="5">
        <f>D3+D4</f>
        <v>2057</v>
      </c>
      <c r="E2" s="5">
        <f>E3+E4</f>
        <v>1981</v>
      </c>
      <c r="G2" s="7">
        <f>(Table1[[#This Row],[FY21]]-Table1[[#This Row],[FY20]])/Table1[[#This Row],[FY20]]</f>
        <v>-0.35557644110275688</v>
      </c>
      <c r="H2" s="7">
        <f>(Table1[[#This Row],[FY22]]-Table1[[#This Row],[FY21]])/Table1[[#This Row],[FY21]]</f>
        <v>-3.6947010209042293E-2</v>
      </c>
      <c r="I2" s="7">
        <f>((Table1[[#This Row],[FY22]]/Table1[[#This Row],[FY20]])^0.5)-1</f>
        <v>-0.21220939642077519</v>
      </c>
    </row>
    <row r="3" spans="1:9" ht="15.6" x14ac:dyDescent="0.3">
      <c r="B3" t="s">
        <v>10</v>
      </c>
      <c r="C3" s="4">
        <v>3083</v>
      </c>
      <c r="D3" s="4">
        <v>2045</v>
      </c>
      <c r="E3" s="4">
        <v>1958</v>
      </c>
      <c r="F3" s="1"/>
      <c r="G3" s="8">
        <f>(Table1[[#This Row],[FY21]]-Table1[[#This Row],[FY20]])/Table1[[#This Row],[FY20]]</f>
        <v>-0.33668504703211161</v>
      </c>
      <c r="H3" s="8">
        <f>(Table1[[#This Row],[FY22]]-Table1[[#This Row],[FY21]])/Table1[[#This Row],[FY21]]</f>
        <v>-4.2542787286063567E-2</v>
      </c>
      <c r="I3" s="8">
        <f>((Table1[[#This Row],[FY22]]/Table1[[#This Row],[FY20]])^0.5)-1</f>
        <v>-0.20307109098733889</v>
      </c>
    </row>
    <row r="4" spans="1:9" ht="15.6" x14ac:dyDescent="0.3">
      <c r="B4" t="s">
        <v>11</v>
      </c>
      <c r="C4">
        <v>109</v>
      </c>
      <c r="D4">
        <v>12</v>
      </c>
      <c r="E4">
        <v>23</v>
      </c>
      <c r="F4" s="1"/>
      <c r="G4" s="8">
        <f>(Table1[[#This Row],[FY21]]-Table1[[#This Row],[FY20]])/Table1[[#This Row],[FY20]]</f>
        <v>-0.88990825688073394</v>
      </c>
      <c r="H4" s="8">
        <f>(Table1[[#This Row],[FY22]]-Table1[[#This Row],[FY21]])/Table1[[#This Row],[FY21]]</f>
        <v>0.91666666666666663</v>
      </c>
      <c r="I4" s="8">
        <f>((Table1[[#This Row],[FY22]]/Table1[[#This Row],[FY20]])^0.5)-1</f>
        <v>-0.5406426507478882</v>
      </c>
    </row>
    <row r="5" spans="1:9" ht="15.6" x14ac:dyDescent="0.3">
      <c r="B5" s="2" t="s">
        <v>13</v>
      </c>
      <c r="C5" s="9">
        <f>C6+C7+C8</f>
        <v>3614</v>
      </c>
      <c r="D5" s="2">
        <f>D6+D7+D8</f>
        <v>127</v>
      </c>
      <c r="E5" s="2">
        <f>E6+E7+E8</f>
        <v>133</v>
      </c>
      <c r="F5" s="1"/>
      <c r="G5" s="8">
        <f>(Table1[[#This Row],[FY21]]-Table1[[#This Row],[FY20]])/Table1[[#This Row],[FY20]]</f>
        <v>-0.96485888212506921</v>
      </c>
      <c r="H5" s="8">
        <f>(Table1[[#This Row],[FY22]]-Table1[[#This Row],[FY21]])/Table1[[#This Row],[FY21]]</f>
        <v>4.7244094488188976E-2</v>
      </c>
      <c r="I5" s="8">
        <f>((Table1[[#This Row],[FY22]]/Table1[[#This Row],[FY20]])^0.5)-1</f>
        <v>-0.8081632773209606</v>
      </c>
    </row>
    <row r="6" spans="1:9" ht="15.6" x14ac:dyDescent="0.3">
      <c r="B6" t="s">
        <v>14</v>
      </c>
      <c r="C6" s="4">
        <v>3353</v>
      </c>
      <c r="D6">
        <v>0</v>
      </c>
      <c r="E6">
        <v>0</v>
      </c>
      <c r="F6" s="1"/>
      <c r="G6" s="8">
        <f>(Table1[[#This Row],[FY21]]-Table1[[#This Row],[FY20]])/Table1[[#This Row],[FY20]]</f>
        <v>-1</v>
      </c>
      <c r="H6" s="8" t="s">
        <v>18</v>
      </c>
      <c r="I6" s="8">
        <f>((Table1[[#This Row],[FY22]]/Table1[[#This Row],[FY20]])^0.5)-1</f>
        <v>-1</v>
      </c>
    </row>
    <row r="7" spans="1:9" ht="15.6" x14ac:dyDescent="0.3">
      <c r="B7" t="s">
        <v>15</v>
      </c>
      <c r="C7">
        <v>258</v>
      </c>
      <c r="D7">
        <v>127</v>
      </c>
      <c r="E7">
        <v>133</v>
      </c>
      <c r="F7" s="1"/>
      <c r="G7" s="8">
        <f>(Table1[[#This Row],[FY21]]-Table1[[#This Row],[FY20]])/Table1[[#This Row],[FY20]]</f>
        <v>-0.50775193798449614</v>
      </c>
      <c r="H7" s="8">
        <f>(Table1[[#This Row],[FY22]]-Table1[[#This Row],[FY21]])/Table1[[#This Row],[FY21]]</f>
        <v>4.7244094488188976E-2</v>
      </c>
      <c r="I7" s="8">
        <f>((Table1[[#This Row],[FY22]]/Table1[[#This Row],[FY20]])^0.5)-1</f>
        <v>-0.28201401408593474</v>
      </c>
    </row>
    <row r="8" spans="1:9" ht="15.6" x14ac:dyDescent="0.3">
      <c r="B8" t="s">
        <v>16</v>
      </c>
      <c r="C8">
        <v>3</v>
      </c>
      <c r="D8">
        <v>0</v>
      </c>
      <c r="E8">
        <v>0</v>
      </c>
      <c r="F8" s="1"/>
      <c r="G8" s="8">
        <f>(Table1[[#This Row],[FY21]]-Table1[[#This Row],[FY20]])/Table1[[#This Row],[FY20]]</f>
        <v>-1</v>
      </c>
      <c r="H8" s="8" t="s">
        <v>18</v>
      </c>
      <c r="I8" s="8">
        <f>((Table1[[#This Row],[FY22]]/Table1[[#This Row],[FY20]])^0.5)-1</f>
        <v>-1</v>
      </c>
    </row>
    <row r="9" spans="1:9" ht="15.6" x14ac:dyDescent="0.3">
      <c r="B9" t="s">
        <v>17</v>
      </c>
      <c r="C9" s="4">
        <v>6806</v>
      </c>
      <c r="D9" s="4">
        <v>2184</v>
      </c>
      <c r="E9" s="4">
        <v>2114</v>
      </c>
      <c r="F9" s="1"/>
      <c r="G9" s="8">
        <f>(Table1[[#This Row],[FY21]]-Table1[[#This Row],[FY20]])/Table1[[#This Row],[FY20]]</f>
        <v>-0.67910667058477814</v>
      </c>
      <c r="H9" s="8">
        <f>(Table1[[#This Row],[FY22]]-Table1[[#This Row],[FY21]])/Table1[[#This Row],[FY21]]</f>
        <v>-3.2051282051282048E-2</v>
      </c>
      <c r="I9" s="8">
        <f>((Table1[[#This Row],[FY22]]/Table1[[#This Row],[FY20]])^0.5)-1</f>
        <v>-0.44267757374589745</v>
      </c>
    </row>
    <row r="10" spans="1:9" ht="15.6" x14ac:dyDescent="0.3">
      <c r="B10" s="2" t="s">
        <v>19</v>
      </c>
      <c r="C10" s="9">
        <f>C11+C12+C13</f>
        <v>119577</v>
      </c>
      <c r="D10" s="9">
        <f>D11+D12+D13</f>
        <v>46453</v>
      </c>
      <c r="E10" s="4">
        <f>E11+E12+E13</f>
        <v>82535</v>
      </c>
      <c r="F10" s="1"/>
      <c r="G10" s="8">
        <f>(Table1[[#This Row],[FY21]]-Table1[[#This Row],[FY20]])/Table1[[#This Row],[FY20]]</f>
        <v>-0.61152228271323084</v>
      </c>
      <c r="H10" s="8">
        <f>(Table1[[#This Row],[FY22]]-Table1[[#This Row],[FY21]])/Table1[[#This Row],[FY21]]</f>
        <v>0.77674208339612083</v>
      </c>
      <c r="I10" s="8">
        <f>((Table1[[#This Row],[FY22]]/Table1[[#This Row],[FY20]])^0.5)-1</f>
        <v>-0.1692023659367683</v>
      </c>
    </row>
    <row r="11" spans="1:9" ht="15.6" x14ac:dyDescent="0.3">
      <c r="B11" t="s">
        <v>20</v>
      </c>
      <c r="C11" s="4">
        <v>50999</v>
      </c>
      <c r="D11" s="4">
        <v>1512</v>
      </c>
      <c r="E11" s="4">
        <v>8658</v>
      </c>
      <c r="F11" s="1"/>
      <c r="G11" s="8">
        <f>(Table1[[#This Row],[FY21]]-Table1[[#This Row],[FY20]])/Table1[[#This Row],[FY20]]</f>
        <v>-0.97035235985019319</v>
      </c>
      <c r="H11" s="8">
        <f>(Table1[[#This Row],[FY22]]-Table1[[#This Row],[FY21]])/Table1[[#This Row],[FY21]]</f>
        <v>4.7261904761904763</v>
      </c>
      <c r="I11" s="8">
        <f>((Table1[[#This Row],[FY22]]/Table1[[#This Row],[FY20]])^0.5)-1</f>
        <v>-0.58797083274682316</v>
      </c>
    </row>
    <row r="12" spans="1:9" ht="15.6" x14ac:dyDescent="0.3">
      <c r="B12" t="s">
        <v>21</v>
      </c>
      <c r="C12" s="4">
        <v>54938</v>
      </c>
      <c r="D12" s="4">
        <v>40653</v>
      </c>
      <c r="E12" s="4">
        <v>67077</v>
      </c>
      <c r="F12" s="1"/>
      <c r="G12" s="8">
        <f>(Table1[[#This Row],[FY21]]-Table1[[#This Row],[FY20]])/Table1[[#This Row],[FY20]]</f>
        <v>-0.26002038661764171</v>
      </c>
      <c r="H12" s="8">
        <f>(Table1[[#This Row],[FY22]]-Table1[[#This Row],[FY21]])/Table1[[#This Row],[FY21]]</f>
        <v>0.64998893070622099</v>
      </c>
      <c r="I12" s="8">
        <f>((Table1[[#This Row],[FY22]]/Table1[[#This Row],[FY20]])^0.5)-1</f>
        <v>0.10496976023290339</v>
      </c>
    </row>
    <row r="13" spans="1:9" ht="15.6" x14ac:dyDescent="0.3">
      <c r="B13" t="s">
        <v>22</v>
      </c>
      <c r="C13" s="4">
        <v>13640</v>
      </c>
      <c r="D13" s="4">
        <v>4288</v>
      </c>
      <c r="E13" s="4">
        <v>6800</v>
      </c>
      <c r="F13" s="1"/>
      <c r="G13" s="8">
        <f>(Table1[[#This Row],[FY21]]-Table1[[#This Row],[FY20]])/Table1[[#This Row],[FY20]]</f>
        <v>-0.68563049853372438</v>
      </c>
      <c r="H13" s="8">
        <f>(Table1[[#This Row],[FY22]]-Table1[[#This Row],[FY21]])/Table1[[#This Row],[FY21]]</f>
        <v>0.58582089552238803</v>
      </c>
      <c r="I13" s="8">
        <f>((Table1[[#This Row],[FY22]]/Table1[[#This Row],[FY20]])^0.5)-1</f>
        <v>-0.29393079351937745</v>
      </c>
    </row>
    <row r="14" spans="1:9" ht="15.6" x14ac:dyDescent="0.3">
      <c r="B14" s="2" t="s">
        <v>23</v>
      </c>
      <c r="C14" s="9">
        <v>126383</v>
      </c>
      <c r="D14" s="9">
        <v>48637</v>
      </c>
      <c r="E14" s="9">
        <v>84649</v>
      </c>
      <c r="F14" s="1"/>
      <c r="G14" s="8">
        <f>(Table1[[#This Row],[FY21]]-Table1[[#This Row],[FY20]])/Table1[[#This Row],[FY20]]</f>
        <v>-0.61516184929935191</v>
      </c>
      <c r="H14" s="8">
        <f>(Table1[[#This Row],[FY22]]-Table1[[#This Row],[FY21]])/Table1[[#This Row],[FY21]]</f>
        <v>0.74042395706972053</v>
      </c>
      <c r="I14" s="8">
        <f>((Table1[[#This Row],[FY22]]/Table1[[#This Row],[FY20]])^0.5)-1</f>
        <v>-0.18159818116415749</v>
      </c>
    </row>
    <row r="15" spans="1:9" ht="15.6" x14ac:dyDescent="0.3">
      <c r="B15" t="s">
        <v>24</v>
      </c>
      <c r="C15" s="4">
        <v>37246</v>
      </c>
      <c r="D15" s="4">
        <v>44349</v>
      </c>
      <c r="E15" s="4">
        <v>84649</v>
      </c>
      <c r="F15" s="1"/>
      <c r="G15" s="8">
        <f>(Table1[[#This Row],[FY21]]-Table1[[#This Row],[FY20]])/Table1[[#This Row],[FY20]]</f>
        <v>0.19070504215217743</v>
      </c>
      <c r="H15" s="8">
        <f>(Table1[[#This Row],[FY22]]-Table1[[#This Row],[FY21]])/Table1[[#This Row],[FY21]]</f>
        <v>0.90870143633452838</v>
      </c>
      <c r="I15" s="8">
        <f>((Table1[[#This Row],[FY22]]/Table1[[#This Row],[FY20]])^0.5)-1</f>
        <v>0.50754781821560346</v>
      </c>
    </row>
    <row r="16" spans="1:9" ht="15.6" x14ac:dyDescent="0.3">
      <c r="B16" s="2" t="s">
        <v>25</v>
      </c>
      <c r="C16" s="9">
        <v>89137</v>
      </c>
      <c r="D16" s="9">
        <v>4288</v>
      </c>
      <c r="E16" s="2">
        <v>0</v>
      </c>
      <c r="F16" s="1"/>
      <c r="G16" s="8">
        <f>(Table1[[#This Row],[FY21]]-Table1[[#This Row],[FY20]])/Table1[[#This Row],[FY20]]</f>
        <v>-0.95189427510461422</v>
      </c>
      <c r="H16" s="8">
        <f>(Table1[[#This Row],[FY22]]-Table1[[#This Row],[FY21]])/Table1[[#This Row],[FY21]]</f>
        <v>-1</v>
      </c>
      <c r="I16" s="8">
        <f>((Table1[[#This Row],[FY22]]/Table1[[#This Row],[FY20]])^0.5)-1</f>
        <v>-1</v>
      </c>
    </row>
    <row r="17" spans="1:9" ht="15.6" x14ac:dyDescent="0.3">
      <c r="A17" s="2" t="s">
        <v>26</v>
      </c>
      <c r="B17" t="s">
        <v>27</v>
      </c>
      <c r="C17">
        <v>0.38</v>
      </c>
      <c r="D17">
        <v>0.11</v>
      </c>
      <c r="E17">
        <v>0.09</v>
      </c>
      <c r="F17" s="1"/>
      <c r="G17" s="8">
        <f>(Table1[[#This Row],[FY21]]-Table1[[#This Row],[FY20]])/Table1[[#This Row],[FY20]]</f>
        <v>-0.71052631578947367</v>
      </c>
      <c r="H17" s="8">
        <f>(Table1[[#This Row],[FY22]]-Table1[[#This Row],[FY21]])/Table1[[#This Row],[FY21]]</f>
        <v>-0.18181818181818185</v>
      </c>
      <c r="I17" s="8">
        <f>((Table1[[#This Row],[FY22]]/Table1[[#This Row],[FY20]])^0.5)-1</f>
        <v>-0.51333573660771248</v>
      </c>
    </row>
    <row r="18" spans="1:9" ht="15.6" x14ac:dyDescent="0.3">
      <c r="B18" t="s">
        <v>19</v>
      </c>
      <c r="C18">
        <v>6.65</v>
      </c>
      <c r="D18">
        <v>2.36</v>
      </c>
      <c r="E18">
        <v>3.67</v>
      </c>
      <c r="F18" s="1"/>
      <c r="G18" s="8">
        <f>(Table1[[#This Row],[FY21]]-Table1[[#This Row],[FY20]])/Table1[[#This Row],[FY20]]</f>
        <v>-0.6451127819548873</v>
      </c>
      <c r="H18" s="8">
        <f>(Table1[[#This Row],[FY22]]-Table1[[#This Row],[FY21]])/Table1[[#This Row],[FY21]]</f>
        <v>0.55508474576271194</v>
      </c>
      <c r="I18" s="8">
        <f>((Table1[[#This Row],[FY22]]/Table1[[#This Row],[FY20]])^0.5)-1</f>
        <v>-0.25711393925574277</v>
      </c>
    </row>
    <row r="19" spans="1:9" ht="15.6" x14ac:dyDescent="0.3">
      <c r="B19" s="2" t="s">
        <v>28</v>
      </c>
      <c r="C19" s="2">
        <v>7.03</v>
      </c>
      <c r="D19" s="2">
        <v>2.36</v>
      </c>
      <c r="E19" s="2">
        <v>3.76</v>
      </c>
      <c r="F19" s="1"/>
      <c r="G19" s="8">
        <f>(Table1[[#This Row],[FY21]]-Table1[[#This Row],[FY20]])/Table1[[#This Row],[FY20]]</f>
        <v>-0.66429587482219055</v>
      </c>
      <c r="H19" s="8">
        <f>(Table1[[#This Row],[FY22]]-Table1[[#This Row],[FY21]])/Table1[[#This Row],[FY21]]</f>
        <v>0.59322033898305082</v>
      </c>
      <c r="I19" s="8">
        <f>((Table1[[#This Row],[FY22]]/Table1[[#This Row],[FY20]])^0.5)-1</f>
        <v>-0.26866516552689912</v>
      </c>
    </row>
    <row r="20" spans="1:9" ht="15.6" x14ac:dyDescent="0.3">
      <c r="A20" s="2" t="s">
        <v>29</v>
      </c>
      <c r="B20" s="2" t="s">
        <v>30</v>
      </c>
      <c r="C20" s="9">
        <v>11391238</v>
      </c>
      <c r="D20" s="9">
        <v>1667319</v>
      </c>
      <c r="E20" s="9">
        <v>2236250</v>
      </c>
      <c r="F20" s="1"/>
      <c r="G20" s="8">
        <f>(Table1[[#This Row],[FY21]]-Table1[[#This Row],[FY20]])/Table1[[#This Row],[FY20]]</f>
        <v>-0.8536314490137068</v>
      </c>
      <c r="H20" s="8">
        <f>(Table1[[#This Row],[FY22]]-Table1[[#This Row],[FY21]])/Table1[[#This Row],[FY21]]</f>
        <v>0.34122504451757585</v>
      </c>
      <c r="I20" s="8">
        <f>((Table1[[#This Row],[FY22]]/Table1[[#This Row],[FY20]])^0.5)-1</f>
        <v>-0.55692758344423643</v>
      </c>
    </row>
    <row r="21" spans="1:9" ht="15.6" x14ac:dyDescent="0.3">
      <c r="B21" t="s">
        <v>31</v>
      </c>
      <c r="C21" s="4">
        <v>444447</v>
      </c>
      <c r="D21" s="4">
        <v>47343</v>
      </c>
      <c r="E21" s="4">
        <v>93812</v>
      </c>
      <c r="F21" s="1"/>
      <c r="G21" s="8">
        <f>(Table1[[#This Row],[FY21]]-Table1[[#This Row],[FY20]])/Table1[[#This Row],[FY20]]</f>
        <v>-0.89347886249654063</v>
      </c>
      <c r="H21" s="8">
        <f>(Table1[[#This Row],[FY22]]-Table1[[#This Row],[FY21]])/Table1[[#This Row],[FY21]]</f>
        <v>0.98153898147561414</v>
      </c>
      <c r="I21" s="8">
        <f>((Table1[[#This Row],[FY22]]/Table1[[#This Row],[FY20]])^0.5)-1</f>
        <v>-0.54057015082362281</v>
      </c>
    </row>
    <row r="22" spans="1:9" ht="15.6" x14ac:dyDescent="0.3">
      <c r="B22" t="s">
        <v>32</v>
      </c>
      <c r="C22" s="4">
        <v>7941</v>
      </c>
      <c r="D22" s="4">
        <v>1086</v>
      </c>
      <c r="E22" s="4">
        <v>8664</v>
      </c>
      <c r="F22" s="1"/>
      <c r="G22" s="8">
        <f>(Table1[[#This Row],[FY21]]-Table1[[#This Row],[FY20]])/Table1[[#This Row],[FY20]]</f>
        <v>-0.86324140536456362</v>
      </c>
      <c r="H22" s="8">
        <f>(Table1[[#This Row],[FY22]]-Table1[[#This Row],[FY21]])/Table1[[#This Row],[FY21]]</f>
        <v>6.9779005524861875</v>
      </c>
      <c r="I22" s="8">
        <f>((Table1[[#This Row],[FY22]]/Table1[[#This Row],[FY20]])^0.5)-1</f>
        <v>4.4531697795371805E-2</v>
      </c>
    </row>
    <row r="23" spans="1:9" ht="15.6" x14ac:dyDescent="0.3">
      <c r="B23" t="s">
        <v>33</v>
      </c>
      <c r="C23" s="10">
        <v>0</v>
      </c>
      <c r="D23" s="10">
        <v>0.62</v>
      </c>
      <c r="E23" s="10">
        <v>0.81</v>
      </c>
      <c r="F23" s="1"/>
      <c r="G23" s="8" t="s">
        <v>18</v>
      </c>
      <c r="H23" s="8">
        <f>(Table1[[#This Row],[FY22]]-Table1[[#This Row],[FY21]])/Table1[[#This Row],[FY21]]</f>
        <v>0.30645161290322592</v>
      </c>
      <c r="I23" s="8">
        <f>((Table1[[#This Row],[FY22]]/Table1[[#This Row],[FY21]])^1)-1</f>
        <v>0.30645161290322598</v>
      </c>
    </row>
    <row r="24" spans="1:9" ht="15.6" x14ac:dyDescent="0.3">
      <c r="B24" t="s">
        <v>34</v>
      </c>
      <c r="C24" s="4">
        <v>10938850</v>
      </c>
      <c r="D24" s="4">
        <v>1618889</v>
      </c>
      <c r="E24" s="4">
        <v>2133774</v>
      </c>
      <c r="F24" s="1"/>
      <c r="G24" s="8">
        <f>(Table1[[#This Row],[FY21]]-Table1[[#This Row],[FY20]])/Table1[[#This Row],[FY20]]</f>
        <v>-0.85200555817110579</v>
      </c>
      <c r="H24" s="8">
        <f>(Table1[[#This Row],[FY22]]-Table1[[#This Row],[FY21]])/Table1[[#This Row],[FY21]]</f>
        <v>0.31804836526778552</v>
      </c>
      <c r="I24" s="8">
        <f>((Table1[[#This Row],[FY22]]/Table1[[#This Row],[FY20]])^0.5)-1</f>
        <v>-0.55833968695241309</v>
      </c>
    </row>
    <row r="25" spans="1:9" ht="15.6" x14ac:dyDescent="0.3">
      <c r="B25" s="2" t="s">
        <v>35</v>
      </c>
      <c r="C25" s="9">
        <v>49441472</v>
      </c>
      <c r="D25" s="9">
        <v>31481950</v>
      </c>
      <c r="E25" s="9">
        <v>33229198</v>
      </c>
      <c r="F25" s="1"/>
      <c r="G25" s="8">
        <f>(Table1[[#This Row],[FY21]]-Table1[[#This Row],[FY20]])/Table1[[#This Row],[FY20]]</f>
        <v>-0.36324812497491982</v>
      </c>
      <c r="H25" s="8">
        <f>(Table1[[#This Row],[FY22]]-Table1[[#This Row],[FY21]])/Table1[[#This Row],[FY21]]</f>
        <v>5.549999285304754E-2</v>
      </c>
      <c r="I25" s="8">
        <f>((Table1[[#This Row],[FY22]]/Table1[[#This Row],[FY20]])^0.5)-1</f>
        <v>-0.18018807062952746</v>
      </c>
    </row>
    <row r="26" spans="1:9" ht="15.6" x14ac:dyDescent="0.3">
      <c r="B26" t="s">
        <v>36</v>
      </c>
      <c r="C26" s="4">
        <v>16758611</v>
      </c>
      <c r="D26" s="4">
        <v>11123521</v>
      </c>
      <c r="E26" s="4">
        <v>10691475</v>
      </c>
      <c r="F26" s="1"/>
      <c r="G26" s="8">
        <f>(Table1[[#This Row],[FY21]]-Table1[[#This Row],[FY20]])/Table1[[#This Row],[FY20]]</f>
        <v>-0.33625042075384409</v>
      </c>
      <c r="H26" s="8">
        <f>(Table1[[#This Row],[FY22]]-Table1[[#This Row],[FY21]])/Table1[[#This Row],[FY21]]</f>
        <v>-3.884075914451908E-2</v>
      </c>
      <c r="I26" s="8">
        <f>((Table1[[#This Row],[FY22]]/Table1[[#This Row],[FY20]])^0.5)-1</f>
        <v>-0.20127035756372469</v>
      </c>
    </row>
    <row r="27" spans="1:9" ht="15.6" x14ac:dyDescent="0.3">
      <c r="B27" t="s">
        <v>14</v>
      </c>
      <c r="C27" s="4">
        <v>31661469</v>
      </c>
      <c r="D27" s="4">
        <v>19713553</v>
      </c>
      <c r="E27" s="4">
        <v>21846123</v>
      </c>
      <c r="F27" s="1"/>
      <c r="G27" s="8">
        <f>(Table1[[#This Row],[FY21]]-Table1[[#This Row],[FY20]])/Table1[[#This Row],[FY20]]</f>
        <v>-0.37736454995186736</v>
      </c>
      <c r="H27" s="8">
        <f>(Table1[[#This Row],[FY22]]-Table1[[#This Row],[FY21]])/Table1[[#This Row],[FY21]]</f>
        <v>0.10817786119021772</v>
      </c>
      <c r="I27" s="8">
        <f>((Table1[[#This Row],[FY22]]/Table1[[#This Row],[FY20]])^0.5)-1</f>
        <v>-0.1693431386333174</v>
      </c>
    </row>
    <row r="28" spans="1:9" ht="15.6" x14ac:dyDescent="0.3">
      <c r="B28" t="s">
        <v>37</v>
      </c>
      <c r="C28" s="10">
        <v>0.72</v>
      </c>
      <c r="D28" s="10">
        <v>1</v>
      </c>
      <c r="E28" s="10">
        <v>1</v>
      </c>
      <c r="F28" s="1"/>
      <c r="G28" s="8">
        <f>(Table1[[#This Row],[FY21]]-Table1[[#This Row],[FY20]])/Table1[[#This Row],[FY20]]</f>
        <v>0.38888888888888895</v>
      </c>
      <c r="H28" s="8">
        <f>(Table1[[#This Row],[FY22]]-Table1[[#This Row],[FY21]])/Table1[[#This Row],[FY21]]</f>
        <v>0</v>
      </c>
      <c r="I28" s="8">
        <f>((Table1[[#This Row],[FY22]]/Table1[[#This Row],[FY20]])^0.5)-1</f>
        <v>0.17851130197757925</v>
      </c>
    </row>
    <row r="29" spans="1:9" ht="15.6" x14ac:dyDescent="0.3">
      <c r="B29" t="s">
        <v>38</v>
      </c>
      <c r="C29" s="4">
        <v>736160</v>
      </c>
      <c r="D29" s="4">
        <v>258280</v>
      </c>
      <c r="E29" s="4">
        <v>351890</v>
      </c>
      <c r="F29" s="1"/>
      <c r="G29" s="8">
        <f>(Table1[[#This Row],[FY21]]-Table1[[#This Row],[FY20]])/Table1[[#This Row],[FY20]]</f>
        <v>-0.64915235818300365</v>
      </c>
      <c r="H29" s="8">
        <f>(Table1[[#This Row],[FY22]]-Table1[[#This Row],[FY21]])/Table1[[#This Row],[FY21]]</f>
        <v>0.36243611584327085</v>
      </c>
      <c r="I29" s="8">
        <f>((Table1[[#This Row],[FY22]]/Table1[[#This Row],[FY20]])^0.5)-1</f>
        <v>-0.30861913653188267</v>
      </c>
    </row>
    <row r="30" spans="1:9" ht="15.6" x14ac:dyDescent="0.3">
      <c r="B30" t="s">
        <v>40</v>
      </c>
      <c r="C30" s="4">
        <v>285232</v>
      </c>
      <c r="D30" s="4">
        <v>386596</v>
      </c>
      <c r="E30" s="4">
        <v>339711</v>
      </c>
      <c r="F30" s="1"/>
      <c r="G30" s="8">
        <f>(Table1[[#This Row],[FY21]]-Table1[[#This Row],[FY20]])/Table1[[#This Row],[FY20]]</f>
        <v>0.35537387109440738</v>
      </c>
      <c r="H30" s="8">
        <f>(Table1[[#This Row],[FY22]]-Table1[[#This Row],[FY21]])/Table1[[#This Row],[FY21]]</f>
        <v>-0.12127647466605966</v>
      </c>
      <c r="I30" s="8">
        <f>((Table1[[#This Row],[FY22]]/Table1[[#This Row],[FY20]])^0.5)-1</f>
        <v>9.1328963307392153E-2</v>
      </c>
    </row>
    <row r="31" spans="1:9" ht="15.6" x14ac:dyDescent="0.3">
      <c r="B31" s="2" t="s">
        <v>39</v>
      </c>
      <c r="C31" s="9">
        <v>60832710</v>
      </c>
      <c r="D31" s="9">
        <v>33149269</v>
      </c>
      <c r="E31" s="9">
        <v>35465448</v>
      </c>
      <c r="F31" s="1"/>
      <c r="G31" s="8">
        <f>(Table1[[#This Row],[FY21]]-Table1[[#This Row],[FY20]])/Table1[[#This Row],[FY20]]</f>
        <v>-0.45507492597321408</v>
      </c>
      <c r="H31" s="8">
        <f>(Table1[[#This Row],[FY22]]-Table1[[#This Row],[FY21]])/Table1[[#This Row],[FY21]]</f>
        <v>6.9871193841408691E-2</v>
      </c>
      <c r="I31" s="8">
        <f>((Table1[[#This Row],[FY22]]/Table1[[#This Row],[FY20]])^0.5)-1</f>
        <v>-0.23645586931523366</v>
      </c>
    </row>
    <row r="32" spans="1:9" ht="15.6" x14ac:dyDescent="0.3">
      <c r="B32" s="2" t="s">
        <v>41</v>
      </c>
      <c r="C32" s="9">
        <v>141010</v>
      </c>
      <c r="D32" s="9">
        <v>53007</v>
      </c>
      <c r="E32" s="9">
        <v>60340</v>
      </c>
      <c r="F32" s="1"/>
      <c r="G32" s="8">
        <f>(Table1[[#This Row],[FY21]]-Table1[[#This Row],[FY20]])/Table1[[#This Row],[FY20]]</f>
        <v>-0.62409049003616768</v>
      </c>
      <c r="H32" s="8">
        <f>(Table1[[#This Row],[FY22]]-Table1[[#This Row],[FY21]])/Table1[[#This Row],[FY21]]</f>
        <v>0.13834021921632991</v>
      </c>
      <c r="I32" s="8">
        <f>((Table1[[#This Row],[FY22]]/Table1[[#This Row],[FY20]])^0.5)-1</f>
        <v>-0.34584947146873601</v>
      </c>
    </row>
    <row r="33" spans="2:9" ht="15.6" x14ac:dyDescent="0.3">
      <c r="B33" s="2" t="s">
        <v>42</v>
      </c>
      <c r="C33" s="9">
        <v>2635</v>
      </c>
      <c r="D33" s="2">
        <v>382</v>
      </c>
      <c r="E33" s="2">
        <v>984</v>
      </c>
      <c r="F33" s="1"/>
      <c r="G33" s="8">
        <f>(Table1[[#This Row],[FY21]]-Table1[[#This Row],[FY20]])/Table1[[#This Row],[FY20]]</f>
        <v>-0.85502846299810242</v>
      </c>
      <c r="H33" s="8">
        <f>(Table1[[#This Row],[FY22]]-Table1[[#This Row],[FY21]])/Table1[[#This Row],[FY21]]</f>
        <v>1.5759162303664922</v>
      </c>
      <c r="I33" s="8">
        <f>((Table1[[#This Row],[FY22]]/Table1[[#This Row],[FY20]])^0.5)-1</f>
        <v>-0.38890709781215405</v>
      </c>
    </row>
    <row r="34" spans="2:9" ht="15.6" x14ac:dyDescent="0.3">
      <c r="B34" t="s">
        <v>43</v>
      </c>
      <c r="C34" s="10">
        <v>0.55000000000000004</v>
      </c>
      <c r="D34" s="10">
        <v>0.5</v>
      </c>
      <c r="E34" s="10">
        <v>0.56999999999999995</v>
      </c>
      <c r="F34" s="1"/>
      <c r="G34" s="8">
        <f>(Table1[[#This Row],[FY21]]-Table1[[#This Row],[FY20]])/Table1[[#This Row],[FY20]]</f>
        <v>-9.0909090909090981E-2</v>
      </c>
      <c r="H34" s="8">
        <f>(Table1[[#This Row],[FY22]]-Table1[[#This Row],[FY21]])/Table1[[#This Row],[FY21]]</f>
        <v>0.1399999999999999</v>
      </c>
      <c r="I34" s="8">
        <f>((Table1[[#This Row],[FY22]]/Table1[[#This Row],[FY20]])^0.5)-1</f>
        <v>1.8019467575957515E-2</v>
      </c>
    </row>
    <row r="35" spans="2:9" ht="15.6" x14ac:dyDescent="0.3">
      <c r="B35" t="s">
        <v>44</v>
      </c>
      <c r="C35" s="10">
        <v>0.99</v>
      </c>
      <c r="D35" s="10">
        <v>1</v>
      </c>
      <c r="E35" s="10">
        <v>1</v>
      </c>
      <c r="F35" s="1"/>
      <c r="G35" s="8">
        <f>(Table1[[#This Row],[FY21]]-Table1[[#This Row],[FY20]])/Table1[[#This Row],[FY20]]</f>
        <v>1.0101010101010111E-2</v>
      </c>
      <c r="H35" s="8">
        <f>(Table1[[#This Row],[FY22]]-Table1[[#This Row],[FY21]])/Table1[[#This Row],[FY21]]</f>
        <v>0</v>
      </c>
      <c r="I35" s="8">
        <f>((Table1[[#This Row],[FY22]]/Table1[[#This Row],[FY20]])^0.5)-1</f>
        <v>5.0378152592120973E-3</v>
      </c>
    </row>
    <row r="36" spans="2:9" ht="15.6" x14ac:dyDescent="0.3">
      <c r="B36" s="2" t="s">
        <v>45</v>
      </c>
      <c r="C36" t="s">
        <v>18</v>
      </c>
      <c r="D36" s="10">
        <v>0.08</v>
      </c>
      <c r="E36" s="10">
        <v>0.14000000000000001</v>
      </c>
      <c r="F36" s="1"/>
      <c r="G36" s="8" t="s">
        <v>18</v>
      </c>
      <c r="H36" s="8">
        <f>(Table1[[#This Row],[FY22]]-Table1[[#This Row],[FY21]])/Table1[[#This Row],[FY21]]</f>
        <v>0.75000000000000011</v>
      </c>
      <c r="I36" s="8">
        <f>((Table1[[#This Row],[FY22]]/Table1[[#This Row],[FY21]])^1)-1</f>
        <v>0.75000000000000022</v>
      </c>
    </row>
  </sheetData>
  <conditionalFormatting sqref="G17:H18">
    <cfRule type="colorScale" priority="1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:I36">
    <cfRule type="colorScale" priority="29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8:I9">
    <cfRule type="colorScale" priority="28">
      <colorScale>
        <cfvo type="min"/>
        <cfvo type="max"/>
        <color rgb="FF63BE7B"/>
        <color rgb="FFFCFCFF"/>
      </colorScale>
    </cfRule>
  </conditionalFormatting>
  <conditionalFormatting sqref="G10:I14">
    <cfRule type="colorScale" priority="2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15:I15">
    <cfRule type="colorScale" priority="27">
      <colorScale>
        <cfvo type="min"/>
        <cfvo type="max"/>
        <color rgb="FFFCFCFF"/>
        <color rgb="FF63BE7B"/>
      </colorScale>
    </cfRule>
  </conditionalFormatting>
  <conditionalFormatting sqref="G20:I21">
    <cfRule type="colorScale" priority="17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2:I22">
    <cfRule type="colorScale" priority="15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2:I23">
    <cfRule type="colorScale" priority="16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23:I23">
    <cfRule type="colorScale" priority="14">
      <colorScale>
        <cfvo type="min"/>
        <cfvo type="max"/>
        <color rgb="FFFCFCFF"/>
        <color rgb="FF63BE7B"/>
      </colorScale>
    </cfRule>
  </conditionalFormatting>
  <conditionalFormatting sqref="G24:I24">
    <cfRule type="colorScale" priority="1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H4">
    <cfRule type="colorScale" priority="22">
      <colorScale>
        <cfvo type="min"/>
        <cfvo type="max"/>
        <color rgb="FFFCFCFF"/>
        <color rgb="FFF8696B"/>
      </colorScale>
    </cfRule>
  </conditionalFormatting>
  <conditionalFormatting sqref="H10">
    <cfRule type="colorScale" priority="21">
      <colorScale>
        <cfvo type="min"/>
        <cfvo type="max"/>
        <color rgb="FFFCFCFF"/>
        <color rgb="FFF8696B"/>
      </colorScale>
    </cfRule>
  </conditionalFormatting>
  <conditionalFormatting sqref="H12">
    <cfRule type="colorScale" priority="25">
      <colorScale>
        <cfvo type="min"/>
        <cfvo type="max"/>
        <color rgb="FFFCFCFF"/>
        <color rgb="FFF8696B"/>
      </colorScale>
    </cfRule>
  </conditionalFormatting>
  <conditionalFormatting sqref="H13">
    <cfRule type="colorScale" priority="23">
      <colorScale>
        <cfvo type="min"/>
        <cfvo type="max"/>
        <color rgb="FFFCFCFF"/>
        <color rgb="FFF8696B"/>
      </colorScale>
    </cfRule>
  </conditionalFormatting>
  <conditionalFormatting sqref="H14">
    <cfRule type="colorScale" priority="24">
      <colorScale>
        <cfvo type="min"/>
        <cfvo type="max"/>
        <color rgb="FFFCFCFF"/>
        <color rgb="FFF8696B"/>
      </colorScale>
    </cfRule>
  </conditionalFormatting>
  <conditionalFormatting sqref="H18">
    <cfRule type="colorScale" priority="20">
      <colorScale>
        <cfvo type="min"/>
        <cfvo type="max"/>
        <color rgb="FFFCFCFF"/>
        <color rgb="FFF8696B"/>
      </colorScale>
    </cfRule>
  </conditionalFormatting>
  <conditionalFormatting sqref="H19">
    <cfRule type="colorScale" priority="19">
      <colorScale>
        <cfvo type="min"/>
        <cfvo type="max"/>
        <color rgb="FFFCFCFF"/>
        <color rgb="FFF8696B"/>
      </colorScale>
    </cfRule>
  </conditionalFormatting>
  <conditionalFormatting sqref="I18:I21">
    <cfRule type="colorScale" priority="12">
      <colorScale>
        <cfvo type="min"/>
        <cfvo type="max"/>
        <color rgb="FF63BE7B"/>
        <color rgb="FFFCFCFF"/>
      </colorScale>
    </cfRule>
  </conditionalFormatting>
  <conditionalFormatting sqref="I24">
    <cfRule type="colorScale" priority="11">
      <colorScale>
        <cfvo type="min"/>
        <cfvo type="max"/>
        <color rgb="FFFCFCFF"/>
        <color rgb="FF63BE7B"/>
      </colorScale>
    </cfRule>
  </conditionalFormatting>
  <conditionalFormatting sqref="J2">
    <cfRule type="colorScale" priority="3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5:I27">
    <cfRule type="colorScale" priority="10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28:I28">
    <cfRule type="colorScale" priority="9">
      <colorScale>
        <cfvo type="min"/>
        <cfvo type="max"/>
        <color rgb="FFFCFCFF"/>
        <color rgb="FF63BE7B"/>
      </colorScale>
    </cfRule>
  </conditionalFormatting>
  <conditionalFormatting sqref="G29:I29">
    <cfRule type="colorScale" priority="8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0:I30">
    <cfRule type="colorScale" priority="7">
      <colorScale>
        <cfvo type="min"/>
        <cfvo type="percentile" val="50"/>
        <cfvo type="max"/>
        <color rgb="FFF8696B"/>
        <color rgb="FFFCFCFF"/>
        <color rgb="FF63BE7B"/>
      </colorScale>
    </cfRule>
  </conditionalFormatting>
  <conditionalFormatting sqref="G31:I31">
    <cfRule type="colorScale" priority="6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2:I36">
    <cfRule type="colorScale" priority="5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4:I36">
    <cfRule type="colorScale" priority="4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4:I35">
    <cfRule type="colorScale" priority="3">
      <colorScale>
        <cfvo type="min"/>
        <cfvo type="percentile" val="50"/>
        <cfvo type="max"/>
        <color rgb="FF63BE7B"/>
        <color rgb="FFFCFCFF"/>
        <color rgb="FFF8696B"/>
      </colorScale>
    </cfRule>
  </conditionalFormatting>
  <conditionalFormatting sqref="G36:I36">
    <cfRule type="colorScale" priority="2">
      <colorScale>
        <cfvo type="min"/>
        <cfvo type="max"/>
        <color rgb="FF63BE7B"/>
        <color rgb="FFFCFCFF"/>
      </colorScale>
    </cfRule>
  </conditionalFormatting>
  <conditionalFormatting sqref="I36">
    <cfRule type="colorScale" priority="1">
      <colorScale>
        <cfvo type="min"/>
        <cfvo type="max"/>
        <color rgb="FFFCFCFF"/>
        <color rgb="FF63BE7B"/>
      </colorScale>
    </cfRule>
  </conditionalFormatting>
  <pageMargins left="0.7" right="0.7" top="0.75" bottom="0.75" header="0.3" footer="0.3"/>
  <tableParts count="1">
    <tablePart r:id="rId1"/>
  </tableParts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first="1" xr2:uid="{F22D6C4B-0435-4FBF-9405-B833B03429B1}">
          <x14:colorSeries theme="2" tint="-0.249977111117893"/>
          <x14:colorNegative rgb="FFD00000"/>
          <x14:colorAxis rgb="FF000000"/>
          <x14:colorMarkers rgb="FFD00000"/>
          <x14:colorFirst rgb="FFD00000"/>
          <x14:colorLast rgb="FFD00000"/>
          <x14:colorHigh theme="9"/>
          <x14:colorLow rgb="FFD00000"/>
          <x14:sparklines>
            <x14:sparkline>
              <xm:f>Sheet1!C2:E2</xm:f>
              <xm:sqref>F2</xm:sqref>
            </x14:sparkline>
            <x14:sparkline>
              <xm:f>Sheet1!C3:E3</xm:f>
              <xm:sqref>F3</xm:sqref>
            </x14:sparkline>
            <x14:sparkline>
              <xm:f>Sheet1!C4:E4</xm:f>
              <xm:sqref>F4</xm:sqref>
            </x14:sparkline>
            <x14:sparkline>
              <xm:f>Sheet1!C5:E5</xm:f>
              <xm:sqref>F5</xm:sqref>
            </x14:sparkline>
            <x14:sparkline>
              <xm:f>Sheet1!C6:E6</xm:f>
              <xm:sqref>F6</xm:sqref>
            </x14:sparkline>
            <x14:sparkline>
              <xm:f>Sheet1!C7:E7</xm:f>
              <xm:sqref>F7</xm:sqref>
            </x14:sparkline>
            <x14:sparkline>
              <xm:f>Sheet1!C8:E8</xm:f>
              <xm:sqref>F8</xm:sqref>
            </x14:sparkline>
            <x14:sparkline>
              <xm:f>Sheet1!C9:E9</xm:f>
              <xm:sqref>F9</xm:sqref>
            </x14:sparkline>
            <x14:sparkline>
              <xm:f>Sheet1!C10:E10</xm:f>
              <xm:sqref>F10</xm:sqref>
            </x14:sparkline>
            <x14:sparkline>
              <xm:f>Sheet1!C11:E11</xm:f>
              <xm:sqref>F11</xm:sqref>
            </x14:sparkline>
            <x14:sparkline>
              <xm:f>Sheet1!C12:E12</xm:f>
              <xm:sqref>F12</xm:sqref>
            </x14:sparkline>
            <x14:sparkline>
              <xm:f>Sheet1!C13:E13</xm:f>
              <xm:sqref>F13</xm:sqref>
            </x14:sparkline>
            <x14:sparkline>
              <xm:f>Sheet1!C14:E14</xm:f>
              <xm:sqref>F14</xm:sqref>
            </x14:sparkline>
            <x14:sparkline>
              <xm:f>Sheet1!C15:E15</xm:f>
              <xm:sqref>F15</xm:sqref>
            </x14:sparkline>
            <x14:sparkline>
              <xm:f>Sheet1!C16:E16</xm:f>
              <xm:sqref>F16</xm:sqref>
            </x14:sparkline>
            <x14:sparkline>
              <xm:f>Sheet1!C17:E17</xm:f>
              <xm:sqref>F17</xm:sqref>
            </x14:sparkline>
            <x14:sparkline>
              <xm:f>Sheet1!C18:E18</xm:f>
              <xm:sqref>F18</xm:sqref>
            </x14:sparkline>
            <x14:sparkline>
              <xm:f>Sheet1!C19:E19</xm:f>
              <xm:sqref>F19</xm:sqref>
            </x14:sparkline>
            <x14:sparkline>
              <xm:f>Sheet1!C20:E20</xm:f>
              <xm:sqref>F20</xm:sqref>
            </x14:sparkline>
            <x14:sparkline>
              <xm:f>Sheet1!C21:E21</xm:f>
              <xm:sqref>F21</xm:sqref>
            </x14:sparkline>
            <x14:sparkline>
              <xm:f>Sheet1!C22:E22</xm:f>
              <xm:sqref>F22</xm:sqref>
            </x14:sparkline>
            <x14:sparkline>
              <xm:f>Sheet1!C23:E23</xm:f>
              <xm:sqref>F23</xm:sqref>
            </x14:sparkline>
            <x14:sparkline>
              <xm:f>Sheet1!C24:E24</xm:f>
              <xm:sqref>F24</xm:sqref>
            </x14:sparkline>
            <x14:sparkline>
              <xm:f>Sheet1!C25:E25</xm:f>
              <xm:sqref>F25</xm:sqref>
            </x14:sparkline>
            <x14:sparkline>
              <xm:f>Sheet1!C26:E26</xm:f>
              <xm:sqref>F26</xm:sqref>
            </x14:sparkline>
            <x14:sparkline>
              <xm:f>Sheet1!C27:E27</xm:f>
              <xm:sqref>F27</xm:sqref>
            </x14:sparkline>
            <x14:sparkline>
              <xm:f>Sheet1!C28:E28</xm:f>
              <xm:sqref>F28</xm:sqref>
            </x14:sparkline>
            <x14:sparkline>
              <xm:f>Sheet1!C29:E29</xm:f>
              <xm:sqref>F29</xm:sqref>
            </x14:sparkline>
            <x14:sparkline>
              <xm:f>Sheet1!C30:E30</xm:f>
              <xm:sqref>F30</xm:sqref>
            </x14:sparkline>
            <x14:sparkline>
              <xm:f>Sheet1!C31:E31</xm:f>
              <xm:sqref>F31</xm:sqref>
            </x14:sparkline>
            <x14:sparkline>
              <xm:f>Sheet1!C32:E32</xm:f>
              <xm:sqref>F32</xm:sqref>
            </x14:sparkline>
            <x14:sparkline>
              <xm:f>Sheet1!C33:E33</xm:f>
              <xm:sqref>F33</xm:sqref>
            </x14:sparkline>
            <x14:sparkline>
              <xm:f>Sheet1!C34:E34</xm:f>
              <xm:sqref>F34</xm:sqref>
            </x14:sparkline>
            <x14:sparkline>
              <xm:f>Sheet1!C35:E35</xm:f>
              <xm:sqref>F35</xm:sqref>
            </x14:sparkline>
            <x14:sparkline>
              <xm:f>Sheet1!C36:E36</xm:f>
              <xm:sqref>F36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Arkajyoti Basu Ray</dc:creator>
  <cp:lastModifiedBy>Arkajyoti Basu Ray</cp:lastModifiedBy>
  <dcterms:created xsi:type="dcterms:W3CDTF">2015-06-05T18:17:20Z</dcterms:created>
  <dcterms:modified xsi:type="dcterms:W3CDTF">2026-04-28T18:46:01Z</dcterms:modified>
</cp:coreProperties>
</file>