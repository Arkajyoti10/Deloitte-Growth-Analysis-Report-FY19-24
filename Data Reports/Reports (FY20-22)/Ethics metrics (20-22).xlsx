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0-22)\"/>
    </mc:Choice>
  </mc:AlternateContent>
  <xr:revisionPtr revIDLastSave="0" documentId="13_ncr:1_{8A4E2D8C-95A8-48EB-BA82-5E14B622C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  <c r="F9" i="1"/>
  <c r="G2" i="1"/>
  <c r="G3" i="1"/>
  <c r="G9" i="1"/>
  <c r="F2" i="1"/>
  <c r="F3" i="1"/>
</calcChain>
</file>

<file path=xl/sharedStrings.xml><?xml version="1.0" encoding="utf-8"?>
<sst xmlns="http://schemas.openxmlformats.org/spreadsheetml/2006/main" count="27" uniqueCount="18">
  <si>
    <t>METRIC</t>
  </si>
  <si>
    <t>CATEGORY</t>
  </si>
  <si>
    <t>FY21</t>
  </si>
  <si>
    <t>FY22</t>
  </si>
  <si>
    <t>YEARLY TRENDS</t>
  </si>
  <si>
    <t xml:space="preserve">YoY (21-22) </t>
  </si>
  <si>
    <t>CAGR</t>
  </si>
  <si>
    <t>Ehtics</t>
  </si>
  <si>
    <t>Ethics Cases raised</t>
  </si>
  <si>
    <t>NA</t>
  </si>
  <si>
    <t>Rate - per 100 FTE</t>
  </si>
  <si>
    <t>% breakdown by Top 5 Cases</t>
  </si>
  <si>
    <t>Respect &amp; Fair treatment</t>
  </si>
  <si>
    <t>Compliance</t>
  </si>
  <si>
    <t>Others</t>
  </si>
  <si>
    <t>Time &amp; Expense Reporting &amp; Client Billing</t>
  </si>
  <si>
    <t>Harassment (including Sexual Harassment)</t>
  </si>
  <si>
    <t>% of respondents who agreed with the statement 'Deloitte is an ethical place to work'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</si>
</sst>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9" fontId="0" fillId="0" borderId="0" xfId="0" applyNumberFormat="1"/>
    <xf numFmtId="9" fontId="3" fillId="0" borderId="0" xfId="1" applyFont="1" applyAlignment="1">
      <alignment horizontal="center" vertical="center"/>
    </xf>
    <xf numFmtId="9" fontId="0" fillId="0" borderId="0" xfId="1" applyFont="1"/>
    <xf numFmtId="9" fontId="0" fillId="0" borderId="0" xfId="1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532B23-BBDE-49A4-A427-DBD9BAC19BEB}" name="Table2" displayName="Table2" ref="A1:G9" totalsRowShown="0" headerRowDxfId="1">
  <autoFilter ref="A1:G9" xr:uid="{77532B23-BBDE-49A4-A427-DBD9BAC19BEB}"/>
  <tableColumns count="7">
    <tableColumn id="1" xr3:uid="{904A0B48-6672-4F14-8CCC-84E872E493EF}" name="METRIC" dataDxfId="0"/>
    <tableColumn id="2" xr3:uid="{19D085E9-72CC-4F61-804F-BC1586A6B77E}" name="CATEGORY"/>
    <tableColumn id="4" xr3:uid="{7AD40BB8-B7DD-4781-9D7F-04A5D121C8B7}" name="FY21"/>
    <tableColumn id="5" xr3:uid="{8ABD6712-8DCC-4484-8637-E6369AA51960}" name="FY22"/>
    <tableColumn id="6" xr3:uid="{4253D179-4600-48D3-9A66-56324422FCB7}" name="YEARLY TRENDS"/>
    <tableColumn id="8" xr3:uid="{47D6F728-E953-46FE-80A4-5E0C14E438C1}" name="YoY (21-22) " dataCellStyle="Percent">
      <calculatedColumnFormula>(Table2[[#This Row],[FY22]]-Table2[[#This Row],[FY21]])/Table2[[#This Row],[FY21]]</calculatedColumnFormula>
    </tableColumn>
    <tableColumn id="9" xr3:uid="{138AC91D-158B-40E9-B873-78C8B44D0BE7}" name="CAGR" dataCellStyle="Percent">
      <calculatedColumnFormula>(Table2[[#This Row],[FY22]]/Table2[[#This Row],[FY21]])-1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7" sqref="H7"/>
    </sheetView>
  </sheetViews>
  <sheetFormatPr defaultRowHeight="14.4" x14ac:dyDescent="0.3"/>
  <cols>
    <col min="1" max="1" width="26.44140625" customWidth="1"/>
    <col min="2" max="2" width="72.5546875" customWidth="1"/>
    <col min="3" max="4" width="11" customWidth="1"/>
    <col min="5" max="5" width="21.5546875" customWidth="1"/>
    <col min="6" max="6" width="16.88671875" style="5" customWidth="1"/>
    <col min="7" max="7" width="14.33203125" style="5" customWidth="1"/>
  </cols>
  <sheetData>
    <row r="1" spans="1:7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x14ac:dyDescent="0.3">
      <c r="A2" s="2" t="s">
        <v>7</v>
      </c>
      <c r="B2" t="s">
        <v>8</v>
      </c>
      <c r="C2">
        <v>228</v>
      </c>
      <c r="D2">
        <v>235</v>
      </c>
      <c r="F2" s="5">
        <f>(Table2[[#This Row],[FY22]]-Table2[[#This Row],[FY21]])/Table2[[#This Row],[FY21]]</f>
        <v>3.0701754385964911E-2</v>
      </c>
      <c r="G2" s="5">
        <f>(Table2[[#This Row],[FY22]]/Table2[[#This Row],[FY21]])-1</f>
        <v>3.0701754385964897E-2</v>
      </c>
    </row>
    <row r="3" spans="1:7" x14ac:dyDescent="0.3">
      <c r="A3" s="2"/>
      <c r="B3" t="s">
        <v>10</v>
      </c>
      <c r="C3">
        <v>1</v>
      </c>
      <c r="D3">
        <v>0.93</v>
      </c>
      <c r="F3" s="5">
        <f>(Table2[[#This Row],[FY22]]-Table2[[#This Row],[FY21]])/Table2[[#This Row],[FY21]]</f>
        <v>-6.9999999999999951E-2</v>
      </c>
      <c r="G3" s="5">
        <f>(Table2[[#This Row],[FY22]]/Table2[[#This Row],[FY21]])-1</f>
        <v>-6.9999999999999951E-2</v>
      </c>
    </row>
    <row r="4" spans="1:7" x14ac:dyDescent="0.3">
      <c r="A4" s="2" t="s">
        <v>11</v>
      </c>
      <c r="B4" t="s">
        <v>12</v>
      </c>
      <c r="C4" s="7" t="s">
        <v>9</v>
      </c>
      <c r="D4" s="3">
        <v>0.28999999999999998</v>
      </c>
      <c r="F4" s="6" t="s">
        <v>9</v>
      </c>
      <c r="G4" s="6">
        <f>Table2[[#This Row],[FY22]]</f>
        <v>0.28999999999999998</v>
      </c>
    </row>
    <row r="5" spans="1:7" x14ac:dyDescent="0.3">
      <c r="A5" s="2"/>
      <c r="B5" t="s">
        <v>13</v>
      </c>
      <c r="C5" s="7" t="s">
        <v>9</v>
      </c>
      <c r="D5" s="3">
        <v>0.14000000000000001</v>
      </c>
      <c r="F5" s="6" t="s">
        <v>9</v>
      </c>
      <c r="G5" s="6">
        <f>Table2[[#This Row],[FY22]]</f>
        <v>0.14000000000000001</v>
      </c>
    </row>
    <row r="6" spans="1:7" x14ac:dyDescent="0.3">
      <c r="A6" s="2"/>
      <c r="B6" t="s">
        <v>14</v>
      </c>
      <c r="C6" s="7" t="s">
        <v>9</v>
      </c>
      <c r="D6" s="3">
        <v>0.13</v>
      </c>
      <c r="F6" s="6" t="s">
        <v>9</v>
      </c>
      <c r="G6" s="6">
        <f>Table2[[#This Row],[FY22]]</f>
        <v>0.13</v>
      </c>
    </row>
    <row r="7" spans="1:7" x14ac:dyDescent="0.3">
      <c r="A7" s="2"/>
      <c r="B7" t="s">
        <v>15</v>
      </c>
      <c r="C7" s="7" t="s">
        <v>9</v>
      </c>
      <c r="D7" s="3">
        <v>0.11</v>
      </c>
      <c r="F7" s="6" t="s">
        <v>9</v>
      </c>
      <c r="G7" s="6">
        <f>Table2[[#This Row],[FY22]]</f>
        <v>0.11</v>
      </c>
    </row>
    <row r="8" spans="1:7" x14ac:dyDescent="0.3">
      <c r="A8" s="2"/>
      <c r="B8" t="s">
        <v>16</v>
      </c>
      <c r="C8" s="7" t="s">
        <v>9</v>
      </c>
      <c r="D8" s="3">
        <v>0.11</v>
      </c>
      <c r="F8" s="6" t="s">
        <v>9</v>
      </c>
      <c r="G8" s="6">
        <f>Table2[[#This Row],[FY22]]</f>
        <v>0.11</v>
      </c>
    </row>
    <row r="9" spans="1:7" x14ac:dyDescent="0.3">
      <c r="A9" s="2"/>
      <c r="B9" s="2" t="s">
        <v>17</v>
      </c>
      <c r="C9" s="3">
        <v>0.95</v>
      </c>
      <c r="D9" s="3">
        <v>0.96</v>
      </c>
      <c r="F9" s="5">
        <f>(Table2[[#This Row],[FY22]]-Table2[[#This Row],[FY21]])/Table2[[#This Row],[FY21]]</f>
        <v>1.0526315789473694E-2</v>
      </c>
      <c r="G9" s="5">
        <f>(Table2[[#This Row],[FY22]]/Table2[[#This Row],[FY21]])-1</f>
        <v>1.0526315789473717E-2</v>
      </c>
    </row>
  </sheetData>
  <phoneticPr fontId="4" type="noConversion"/>
  <conditionalFormatting sqref="F2:G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:G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xr2:uid="{C3CA23AE-D575-43DE-BF0B-CFDEBF35C7B7}">
          <x14:colorSeries theme="2" tint="-0.249977111117893"/>
          <x14:colorNegative rgb="FFD00000"/>
          <x14:colorAxis rgb="FF000000"/>
          <x14:colorMarkers theme="9"/>
          <x14:colorFirst rgb="FFD00000"/>
          <x14:colorLast rgb="FFD00000"/>
          <x14:colorHigh theme="9"/>
          <x14:colorLow rgb="FFD00000"/>
          <x14:sparklines>
            <x14:sparkline>
              <xm:f>Sheet1!C2:D2</xm:f>
              <xm:sqref>E2</xm:sqref>
            </x14:sparkline>
            <x14:sparkline>
              <xm:f>Sheet1!C3:D3</xm:f>
              <xm:sqref>E3</xm:sqref>
            </x14:sparkline>
            <x14:sparkline>
              <xm:f>Sheet1!C4:D4</xm:f>
              <xm:sqref>E4</xm:sqref>
            </x14:sparkline>
            <x14:sparkline>
              <xm:f>Sheet1!C5:D5</xm:f>
              <xm:sqref>E5</xm:sqref>
            </x14:sparkline>
            <x14:sparkline>
              <xm:f>Sheet1!C6:D6</xm:f>
              <xm:sqref>E6</xm:sqref>
            </x14:sparkline>
            <x14:sparkline>
              <xm:f>Sheet1!C7:D7</xm:f>
              <xm:sqref>E7</xm:sqref>
            </x14:sparkline>
            <x14:sparkline>
              <xm:f>Sheet1!C8:D8</xm:f>
              <xm:sqref>E8</xm:sqref>
            </x14:sparkline>
            <x14:sparkline>
              <xm:f>Sheet1!C9:D9</xm:f>
              <xm:sqref>E9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2026-04-29T18:54:28Z</dcterms:modified>
</cp:coreProperties>
</file>