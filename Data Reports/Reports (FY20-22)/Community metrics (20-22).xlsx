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21442badc355889/Desktop/Deloitte UK Reports Review (FY19-24)/Data Reports/Reports (FY20-22)/"/>
    </mc:Choice>
  </mc:AlternateContent>
  <xr:revisionPtr revIDLastSave="115" documentId="11_F25DC773A252ABDACC10483CE91C4E9C5BDE58F1" xr6:coauthVersionLast="47" xr6:coauthVersionMax="47" xr10:uidLastSave="{3622FD78-EB57-4740-A2F9-C452F20F3504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H2" i="1"/>
  <c r="H3" i="1"/>
  <c r="H4" i="1"/>
  <c r="H5" i="1"/>
  <c r="H6" i="1"/>
  <c r="H7" i="1"/>
  <c r="G2" i="1"/>
  <c r="G3" i="1"/>
  <c r="G4" i="1"/>
  <c r="G5" i="1"/>
  <c r="G6" i="1"/>
  <c r="G7" i="1"/>
</calcChain>
</file>

<file path=xl/sharedStrings.xml><?xml version="1.0" encoding="utf-8"?>
<sst xmlns="http://schemas.openxmlformats.org/spreadsheetml/2006/main" count="17" uniqueCount="17">
  <si>
    <t>METRIC</t>
  </si>
  <si>
    <t>CATEGORY</t>
  </si>
  <si>
    <t>FY20</t>
  </si>
  <si>
    <t>FY21</t>
  </si>
  <si>
    <t>FY22</t>
  </si>
  <si>
    <t>YEARLY TRENDS</t>
  </si>
  <si>
    <t>YoY (20-21)</t>
  </si>
  <si>
    <t>YoY (21-22)</t>
  </si>
  <si>
    <t>CAGR</t>
  </si>
  <si>
    <t>5 Million Futures Societal Impact</t>
  </si>
  <si>
    <t>Total Futures impacted as part of 5 Million Futures strategy</t>
  </si>
  <si>
    <t>Total Number of society partnerships</t>
  </si>
  <si>
    <t>Community Contribution</t>
  </si>
  <si>
    <t>Total community contribution</t>
  </si>
  <si>
    <t>Number of commmunity volunteers</t>
  </si>
  <si>
    <t>Community volunteering hours</t>
  </si>
  <si>
    <t>Number of pro bono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</si>
</sst>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£-809]* #,##0_-;\-[$£-809]* #,##0_-;_-[$£-8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/>
    <xf numFmtId="3" fontId="0" fillId="0" borderId="0" xfId="0" applyNumberFormat="1"/>
    <xf numFmtId="9" fontId="3" fillId="0" borderId="0" xfId="1" applyFont="1" applyAlignment="1">
      <alignment horizontal="center" vertical="center"/>
    </xf>
    <xf numFmtId="9" fontId="0" fillId="0" borderId="0" xfId="1" applyFont="1"/>
    <xf numFmtId="166" fontId="2" fillId="0" borderId="0" xfId="0" applyNumberFormat="1" applyFont="1"/>
  </cellXfs>
  <cellStyles count="2">
    <cellStyle name="Normal" xfId="0" builtinId="0"/>
    <cellStyle name="Percent" xfId="1" builtinId="5"/>
  </cellStyles>
  <dxfs count="2"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674AF2-7C8C-4565-8B72-C1B1878584E3}" name="Table3" displayName="Table3" ref="A1:I7" totalsRowShown="0" headerRowDxfId="1">
  <autoFilter ref="A1:I7" xr:uid="{3D674AF2-7C8C-4565-8B72-C1B1878584E3}"/>
  <tableColumns count="9">
    <tableColumn id="1" xr3:uid="{0838273E-25CA-4F1C-B697-3BF059D82B7C}" name="METRIC" dataDxfId="0"/>
    <tableColumn id="2" xr3:uid="{1706695D-302E-4679-B0EF-DA4C63B2541E}" name="CATEGORY"/>
    <tableColumn id="3" xr3:uid="{2CC822ED-76C4-4E16-946B-C870BD702B07}" name="FY20"/>
    <tableColumn id="4" xr3:uid="{3CDA2A16-6772-472A-8AAD-9D3FB36392D6}" name="FY21"/>
    <tableColumn id="5" xr3:uid="{A48AC5DF-7BE2-4452-A5C7-9504F499D983}" name="FY22"/>
    <tableColumn id="6" xr3:uid="{3D8A1FC4-4B4D-4A86-AE0C-8E3D50824FAB}" name="YEARLY TRENDS"/>
    <tableColumn id="7" xr3:uid="{C64E2CAC-341A-45F6-B9B5-7081B0FF8FF7}" name="YoY (20-21)" dataCellStyle="Percent">
      <calculatedColumnFormula>(Table3[[#This Row],[FY21]]-Table3[[#This Row],[FY20]])/Table3[[#This Row],[FY20]]</calculatedColumnFormula>
    </tableColumn>
    <tableColumn id="8" xr3:uid="{9E2F1F61-25C4-46B7-92B9-993A1737B76E}" name="YoY (21-22)" dataCellStyle="Percent">
      <calculatedColumnFormula>(Table3[[#This Row],[FY22]]-Table3[[#This Row],[FY21]])/Table3[[#This Row],[FY21]]</calculatedColumnFormula>
    </tableColumn>
    <tableColumn id="9" xr3:uid="{E9652BDC-26EB-4D27-BEED-66DF4A705DA2}" name="CAGR" dataCellStyle="Percent">
      <calculatedColumnFormula>((Table3[[#This Row],[FY22]]/Table3[[#This Row],[FY20]])^0.5)-1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115" zoomScaleNormal="115" workbookViewId="0">
      <selection activeCell="F12" sqref="F12"/>
    </sheetView>
  </sheetViews>
  <sheetFormatPr defaultRowHeight="14.4" x14ac:dyDescent="0.3"/>
  <cols>
    <col min="1" max="1" width="28.21875" customWidth="1"/>
    <col min="2" max="2" width="49.77734375" customWidth="1"/>
    <col min="3" max="3" width="11.6640625" customWidth="1"/>
    <col min="4" max="4" width="11.44140625" customWidth="1"/>
    <col min="5" max="5" width="12.21875" customWidth="1"/>
    <col min="6" max="6" width="20.44140625" customWidth="1"/>
    <col min="7" max="7" width="14.88671875" style="5" customWidth="1"/>
    <col min="8" max="8" width="14.77734375" style="5" customWidth="1"/>
    <col min="9" max="9" width="10.77734375" style="5" customWidth="1"/>
  </cols>
  <sheetData>
    <row r="1" spans="1:9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</row>
    <row r="2" spans="1:9" ht="24" customHeight="1" x14ac:dyDescent="0.3">
      <c r="A2" s="2" t="s">
        <v>9</v>
      </c>
      <c r="B2" t="s">
        <v>10</v>
      </c>
      <c r="C2" s="3">
        <v>199653</v>
      </c>
      <c r="D2" s="3">
        <v>356337</v>
      </c>
      <c r="E2" s="3">
        <v>344548</v>
      </c>
      <c r="G2" s="5">
        <f>(Table3[[#This Row],[FY21]]-Table3[[#This Row],[FY20]])/Table3[[#This Row],[FY20]]</f>
        <v>0.78478159606918008</v>
      </c>
      <c r="H2" s="5">
        <f>(Table3[[#This Row],[FY22]]-Table3[[#This Row],[FY21]])/Table3[[#This Row],[FY21]]</f>
        <v>-3.3083850400042657E-2</v>
      </c>
      <c r="I2" s="5">
        <f>((Table3[[#This Row],[FY22]]/Table3[[#This Row],[FY20]])^0.5)-1</f>
        <v>0.31367200957776298</v>
      </c>
    </row>
    <row r="3" spans="1:9" ht="23.4" customHeight="1" x14ac:dyDescent="0.3">
      <c r="A3" s="2"/>
      <c r="B3" t="s">
        <v>11</v>
      </c>
      <c r="C3">
        <v>70</v>
      </c>
      <c r="D3">
        <v>70</v>
      </c>
      <c r="E3">
        <v>86</v>
      </c>
      <c r="G3" s="5">
        <f>(Table3[[#This Row],[FY21]]-Table3[[#This Row],[FY20]])/Table3[[#This Row],[FY20]]</f>
        <v>0</v>
      </c>
      <c r="H3" s="5">
        <f>(Table3[[#This Row],[FY22]]-Table3[[#This Row],[FY21]])/Table3[[#This Row],[FY21]]</f>
        <v>0.22857142857142856</v>
      </c>
      <c r="I3" s="5">
        <f>((Table3[[#This Row],[FY22]]/Table3[[#This Row],[FY20]])^0.5)-1</f>
        <v>0.10840941378690427</v>
      </c>
    </row>
    <row r="4" spans="1:9" ht="24" customHeight="1" x14ac:dyDescent="0.3">
      <c r="A4" s="2" t="s">
        <v>12</v>
      </c>
      <c r="B4" s="2" t="s">
        <v>13</v>
      </c>
      <c r="C4" s="6">
        <v>6200000</v>
      </c>
      <c r="D4" s="6">
        <v>6900000</v>
      </c>
      <c r="E4" s="6">
        <v>8000000</v>
      </c>
      <c r="G4" s="5">
        <f>(Table3[[#This Row],[FY21]]-Table3[[#This Row],[FY20]])/Table3[[#This Row],[FY20]]</f>
        <v>0.11290322580645161</v>
      </c>
      <c r="H4" s="5">
        <f>(Table3[[#This Row],[FY22]]-Table3[[#This Row],[FY21]])/Table3[[#This Row],[FY21]]</f>
        <v>0.15942028985507245</v>
      </c>
      <c r="I4" s="5">
        <f>((Table3[[#This Row],[FY22]]/Table3[[#This Row],[FY20]])^0.5)-1</f>
        <v>0.13592366849412962</v>
      </c>
    </row>
    <row r="5" spans="1:9" ht="24" customHeight="1" x14ac:dyDescent="0.3">
      <c r="A5" s="2"/>
      <c r="B5" t="s">
        <v>14</v>
      </c>
      <c r="C5" s="3">
        <v>2595</v>
      </c>
      <c r="D5" s="3">
        <v>2920</v>
      </c>
      <c r="E5" s="3">
        <v>3537</v>
      </c>
      <c r="G5" s="5">
        <f>(Table3[[#This Row],[FY21]]-Table3[[#This Row],[FY20]])/Table3[[#This Row],[FY20]]</f>
        <v>0.12524084778420039</v>
      </c>
      <c r="H5" s="5">
        <f>(Table3[[#This Row],[FY22]]-Table3[[#This Row],[FY21]])/Table3[[#This Row],[FY21]]</f>
        <v>0.2113013698630137</v>
      </c>
      <c r="I5" s="5">
        <f>((Table3[[#This Row],[FY22]]/Table3[[#This Row],[FY20]])^0.5)-1</f>
        <v>0.16747838538742155</v>
      </c>
    </row>
    <row r="6" spans="1:9" ht="24" customHeight="1" x14ac:dyDescent="0.3">
      <c r="A6" s="2"/>
      <c r="B6" t="s">
        <v>15</v>
      </c>
      <c r="C6" s="3">
        <v>26175</v>
      </c>
      <c r="D6" s="3">
        <v>23243</v>
      </c>
      <c r="E6" s="3">
        <v>31716</v>
      </c>
      <c r="G6" s="5">
        <f>(Table3[[#This Row],[FY21]]-Table3[[#This Row],[FY20]])/Table3[[#This Row],[FY20]]</f>
        <v>-0.11201528175740211</v>
      </c>
      <c r="H6" s="5">
        <f>(Table3[[#This Row],[FY22]]-Table3[[#This Row],[FY21]])/Table3[[#This Row],[FY21]]</f>
        <v>0.36453986146366646</v>
      </c>
      <c r="I6" s="5">
        <f>((Table3[[#This Row],[FY22]]/Table3[[#This Row],[FY20]])^0.5)-1</f>
        <v>0.10076816106417574</v>
      </c>
    </row>
    <row r="7" spans="1:9" ht="23.4" customHeight="1" x14ac:dyDescent="0.3">
      <c r="A7" s="2"/>
      <c r="B7" t="s">
        <v>16</v>
      </c>
      <c r="C7">
        <v>9437</v>
      </c>
      <c r="D7" s="3">
        <v>11946</v>
      </c>
      <c r="E7" s="3">
        <v>9727</v>
      </c>
      <c r="G7" s="5">
        <f>(Table3[[#This Row],[FY21]]-Table3[[#This Row],[FY20]])/Table3[[#This Row],[FY20]]</f>
        <v>0.26586839037829818</v>
      </c>
      <c r="H7" s="5">
        <f>(Table3[[#This Row],[FY22]]-Table3[[#This Row],[FY21]])/Table3[[#This Row],[FY21]]</f>
        <v>-0.18575255315586808</v>
      </c>
      <c r="I7" s="5">
        <f>((Table3[[#This Row],[FY22]]/Table3[[#This Row],[FY20]])^0.5)-1</f>
        <v>1.5248789660061712E-2</v>
      </c>
    </row>
  </sheetData>
  <conditionalFormatting sqref="G2:I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I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:I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52866D13-9B53-47F0-A083-C427E3526885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</x14:sparklines>
        </x14:sparklineGroup>
        <x14:sparklineGroup displayEmptyCellsAs="gap" high="1" low="1" xr2:uid="{BF50B6CD-44FE-4C6B-8972-2C0BA9BCAA1A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Sheet1!C2:E2</xm:f>
              <xm:sqref>F2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2026-04-29T18:38:43Z</dcterms:modified>
</cp:coreProperties>
</file>