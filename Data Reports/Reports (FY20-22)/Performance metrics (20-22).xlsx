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20-22)\"/>
    </mc:Choice>
  </mc:AlternateContent>
  <xr:revisionPtr revIDLastSave="0" documentId="13_ncr:1_{99222152-2150-4074-9379-38E7A2C51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H26" i="1"/>
  <c r="I26" i="1"/>
  <c r="G25" i="1"/>
  <c r="H25" i="1"/>
  <c r="I25" i="1"/>
  <c r="G24" i="1"/>
  <c r="H24" i="1"/>
  <c r="I24" i="1"/>
  <c r="G23" i="1"/>
  <c r="H23" i="1"/>
  <c r="I23" i="1"/>
  <c r="G22" i="1"/>
  <c r="H22" i="1"/>
  <c r="I22" i="1"/>
  <c r="G21" i="1"/>
  <c r="H21" i="1"/>
  <c r="I21" i="1"/>
  <c r="G20" i="1"/>
  <c r="H20" i="1"/>
  <c r="I20" i="1"/>
  <c r="G19" i="1"/>
  <c r="H19" i="1"/>
  <c r="I19" i="1"/>
  <c r="G18" i="1"/>
  <c r="H18" i="1"/>
  <c r="I18" i="1"/>
  <c r="G17" i="1"/>
  <c r="H17" i="1"/>
  <c r="I17" i="1"/>
  <c r="G16" i="1"/>
  <c r="H16" i="1"/>
  <c r="I16" i="1"/>
  <c r="G15" i="1"/>
  <c r="H15" i="1"/>
  <c r="I15" i="1"/>
  <c r="G14" i="1"/>
  <c r="H14" i="1"/>
  <c r="I14" i="1"/>
  <c r="G13" i="1"/>
  <c r="H13" i="1"/>
  <c r="I13" i="1"/>
  <c r="G12" i="1"/>
  <c r="H12" i="1"/>
  <c r="I12" i="1"/>
  <c r="G11" i="1"/>
  <c r="H11" i="1"/>
  <c r="I11" i="1"/>
  <c r="G10" i="1"/>
  <c r="H10" i="1"/>
  <c r="I10" i="1"/>
  <c r="I2" i="1"/>
  <c r="I3" i="1"/>
  <c r="I4" i="1"/>
  <c r="I5" i="1"/>
  <c r="I6" i="1"/>
  <c r="I7" i="1"/>
  <c r="I8" i="1"/>
  <c r="I9" i="1"/>
  <c r="H5" i="1"/>
  <c r="H2" i="1"/>
  <c r="H3" i="1"/>
  <c r="H4" i="1"/>
  <c r="H6" i="1"/>
  <c r="H7" i="1"/>
  <c r="H8" i="1"/>
  <c r="H9" i="1"/>
  <c r="G2" i="1"/>
  <c r="G3" i="1"/>
  <c r="G4" i="1"/>
  <c r="G5" i="1"/>
  <c r="G6" i="1"/>
  <c r="G7" i="1"/>
  <c r="G8" i="1"/>
  <c r="G9" i="1"/>
  <c r="E2" i="1"/>
  <c r="E3" i="1"/>
  <c r="D2" i="1"/>
  <c r="D3" i="1"/>
  <c r="C3" i="1"/>
  <c r="C2" i="1" s="1"/>
</calcChain>
</file>

<file path=xl/sharedStrings.xml><?xml version="1.0" encoding="utf-8"?>
<sst xmlns="http://schemas.openxmlformats.org/spreadsheetml/2006/main" count="39" uniqueCount="39">
  <si>
    <t>METRIC</t>
  </si>
  <si>
    <t>CATEGORY</t>
  </si>
  <si>
    <t>FY20</t>
  </si>
  <si>
    <t>FY21</t>
  </si>
  <si>
    <t>FY22</t>
  </si>
  <si>
    <t>Revenue</t>
  </si>
  <si>
    <t>Total Revenue</t>
  </si>
  <si>
    <t>UK Revenue</t>
  </si>
  <si>
    <t>Switzerland Revenue</t>
  </si>
  <si>
    <t>Audit &amp; Assurance</t>
  </si>
  <si>
    <t>Risk Advisory</t>
  </si>
  <si>
    <t>Tax</t>
  </si>
  <si>
    <t>Consulting</t>
  </si>
  <si>
    <t>Financial Advisory</t>
  </si>
  <si>
    <t>YEARLY TRENDS</t>
  </si>
  <si>
    <t>YoY (20-21)</t>
  </si>
  <si>
    <t>YoY (21-22)</t>
  </si>
  <si>
    <t>CAGR</t>
  </si>
  <si>
    <t>Industry Revenue (UK only)</t>
  </si>
  <si>
    <t>Financial Services</t>
  </si>
  <si>
    <t>Consumer</t>
  </si>
  <si>
    <t>Technology, Media &amp; Telecomms</t>
  </si>
  <si>
    <t>Energy, Resources &amp; Industrials</t>
  </si>
  <si>
    <t>Government &amp; Public Services</t>
  </si>
  <si>
    <t>Life Sciences &amp; Healthcare</t>
  </si>
  <si>
    <t>Other</t>
  </si>
  <si>
    <t>Additional Financial Information</t>
  </si>
  <si>
    <t>Distributable profit</t>
  </si>
  <si>
    <t>Average profit per equity partner</t>
  </si>
  <si>
    <t>Average effective tax rate equity partner %</t>
  </si>
  <si>
    <t>Tax paid to HMRC</t>
  </si>
  <si>
    <t>Business taxes collected on behalf of HMRC</t>
  </si>
  <si>
    <t>Total UK tax contribution</t>
  </si>
  <si>
    <t>Number of full-time Equivalents</t>
  </si>
  <si>
    <t>Equity partners</t>
  </si>
  <si>
    <t>Employees</t>
  </si>
  <si>
    <t>Quality and Client care</t>
  </si>
  <si>
    <t>Net promoter score</t>
  </si>
  <si>
    <t>Client 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</si>
</sst>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£-809]* #,##0_-;\-[$£-809]* #,##0_-;_-[$£-8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166" fontId="0" fillId="0" borderId="0" xfId="0" applyNumberFormat="1"/>
    <xf numFmtId="166" fontId="2" fillId="0" borderId="0" xfId="0" applyNumberFormat="1" applyFont="1"/>
    <xf numFmtId="9" fontId="0" fillId="0" borderId="0" xfId="1" applyFont="1"/>
    <xf numFmtId="9" fontId="3" fillId="0" borderId="0" xfId="1" applyFont="1" applyAlignment="1">
      <alignment horizontal="center" vertical="center"/>
    </xf>
    <xf numFmtId="9" fontId="0" fillId="0" borderId="0" xfId="1" applyNumberFormat="1" applyFont="1"/>
    <xf numFmtId="0" fontId="0" fillId="0" borderId="0" xfId="0" applyNumberFormat="1"/>
    <xf numFmtId="9" fontId="2" fillId="0" borderId="0" xfId="1" applyFont="1"/>
  </cellXfs>
  <cellStyles count="2">
    <cellStyle name="Normal" xfId="0" builtinId="0"/>
    <cellStyle name="Percent" xfId="1" builtinId="5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6" formatCode="_-[$£-809]* #,##0_-;\-[$£-809]* #,##0_-;_-[$£-809]* &quot;-&quot;??_-;_-@_-"/>
    </dxf>
    <dxf>
      <numFmt numFmtId="166" formatCode="_-[$£-809]* #,##0_-;\-[$£-809]* #,##0_-;_-[$£-809]* &quot;-&quot;??_-;_-@_-"/>
    </dxf>
    <dxf>
      <numFmt numFmtId="166" formatCode="_-[$£-809]* #,##0_-;\-[$£-809]* #,##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5C1BA-FB04-4103-8E81-50EA9AC98673}" name="Table1" displayName="Table1" ref="A1:I26" totalsRowShown="0" headerRowDxfId="0">
  <autoFilter ref="A1:I26" xr:uid="{23F5C1BA-FB04-4103-8E81-50EA9AC98673}"/>
  <tableColumns count="9">
    <tableColumn id="1" xr3:uid="{000108AE-080B-442B-BB6F-A02E0014F5B4}" name="METRIC"/>
    <tableColumn id="2" xr3:uid="{E78CD237-0312-4713-99D8-66BEC5AB119F}" name="CATEGORY"/>
    <tableColumn id="3" xr3:uid="{BD31574C-6369-4A95-AB00-3A07BA83F3C4}" name="FY20" dataDxfId="3"/>
    <tableColumn id="4" xr3:uid="{6E349FF1-76A3-4BF7-B072-55D5A62D5093}" name="FY21" dataDxfId="2"/>
    <tableColumn id="5" xr3:uid="{1D0515AA-872F-4E31-952F-E9844D4CB28D}" name="FY22" dataDxfId="1"/>
    <tableColumn id="6" xr3:uid="{4D881081-4DF2-426B-ADAD-145A2A96533C}" name="YEARLY TRENDS"/>
    <tableColumn id="7" xr3:uid="{104F46C4-1383-4DBF-AA20-8DE83868417B}" name="YoY (20-21)" dataCellStyle="Percent">
      <calculatedColumnFormula>(Table1[[#This Row],[FY21]]-Table1[[#This Row],[FY20]])/Table1[[#This Row],[FY20]]</calculatedColumnFormula>
    </tableColumn>
    <tableColumn id="8" xr3:uid="{8D2020FF-97F4-430D-8198-B9FA33680811}" name="YoY (21-22)" dataCellStyle="Percent">
      <calculatedColumnFormula>(Table1[[#This Row],[FY22]]-Table1[[#This Row],[FY21]])/Table1[[#This Row],[FY21]]</calculatedColumnFormula>
    </tableColumn>
    <tableColumn id="9" xr3:uid="{21A2C7D9-CF09-423C-94BA-21FC641E3CAD}" name="CAGR" dataCellStyle="Percent">
      <calculatedColumnFormula>((Table1[[#This Row],[FY22]]/Table1[[#This Row],[FY20]])^0.5)-1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Normal="100" workbookViewId="0">
      <selection activeCell="E22" sqref="E22"/>
    </sheetView>
  </sheetViews>
  <sheetFormatPr defaultRowHeight="14.4" x14ac:dyDescent="0.3"/>
  <cols>
    <col min="1" max="1" width="28.6640625" customWidth="1"/>
    <col min="2" max="2" width="38" customWidth="1"/>
    <col min="3" max="3" width="17.5546875" customWidth="1"/>
    <col min="4" max="5" width="17.44140625" bestFit="1" customWidth="1"/>
    <col min="6" max="6" width="17.44140625" customWidth="1"/>
    <col min="7" max="7" width="15.109375" style="5" customWidth="1"/>
    <col min="8" max="8" width="14.77734375" style="5" customWidth="1"/>
    <col min="9" max="9" width="10.5546875" style="5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</v>
      </c>
      <c r="G1" s="6" t="s">
        <v>15</v>
      </c>
      <c r="H1" s="6" t="s">
        <v>16</v>
      </c>
      <c r="I1" s="6" t="s">
        <v>17</v>
      </c>
    </row>
    <row r="2" spans="1:9" x14ac:dyDescent="0.3">
      <c r="A2" s="1" t="s">
        <v>5</v>
      </c>
      <c r="B2" s="1" t="s">
        <v>6</v>
      </c>
      <c r="C2" s="4">
        <f>C3+C4</f>
        <v>4310000000</v>
      </c>
      <c r="D2" s="4">
        <f>D3+D4</f>
        <v>4491000000</v>
      </c>
      <c r="E2" s="4">
        <f>E3+E4</f>
        <v>4940000000</v>
      </c>
      <c r="G2" s="5">
        <f>(Table1[[#This Row],[FY21]]-Table1[[#This Row],[FY20]])/Table1[[#This Row],[FY20]]</f>
        <v>4.1995359628770303E-2</v>
      </c>
      <c r="H2" s="5">
        <f>(Table1[[#This Row],[FY22]]-Table1[[#This Row],[FY21]])/Table1[[#This Row],[FY21]]</f>
        <v>9.9977733244266315E-2</v>
      </c>
      <c r="I2" s="5">
        <f>((Table1[[#This Row],[FY22]]/Table1[[#This Row],[FY20]])^0.5)-1</f>
        <v>7.0594084485571473E-2</v>
      </c>
    </row>
    <row r="3" spans="1:9" x14ac:dyDescent="0.3">
      <c r="B3" s="1" t="s">
        <v>7</v>
      </c>
      <c r="C3" s="4">
        <f>C5+C6+C7+C8+C9</f>
        <v>3720000000</v>
      </c>
      <c r="D3" s="4">
        <f>D5+D6+D7+D8+D9</f>
        <v>3885000000</v>
      </c>
      <c r="E3" s="4">
        <f>E5+E6+E7+E8+E9</f>
        <v>4299000000</v>
      </c>
      <c r="G3" s="5">
        <f>(Table1[[#This Row],[FY21]]-Table1[[#This Row],[FY20]])/Table1[[#This Row],[FY20]]</f>
        <v>4.4354838709677422E-2</v>
      </c>
      <c r="H3" s="5">
        <f>(Table1[[#This Row],[FY22]]-Table1[[#This Row],[FY21]])/Table1[[#This Row],[FY21]]</f>
        <v>0.10656370656370656</v>
      </c>
      <c r="I3" s="5">
        <f>((Table1[[#This Row],[FY22]]/Table1[[#This Row],[FY20]])^0.5)-1</f>
        <v>7.5009377303436597E-2</v>
      </c>
    </row>
    <row r="4" spans="1:9" x14ac:dyDescent="0.3">
      <c r="B4" s="1" t="s">
        <v>8</v>
      </c>
      <c r="C4" s="4">
        <v>590000000</v>
      </c>
      <c r="D4" s="4">
        <v>606000000</v>
      </c>
      <c r="E4" s="4">
        <v>641000000</v>
      </c>
      <c r="G4" s="5">
        <f>(Table1[[#This Row],[FY21]]-Table1[[#This Row],[FY20]])/Table1[[#This Row],[FY20]]</f>
        <v>2.7118644067796609E-2</v>
      </c>
      <c r="H4" s="5">
        <f>(Table1[[#This Row],[FY22]]-Table1[[#This Row],[FY21]])/Table1[[#This Row],[FY21]]</f>
        <v>5.7755775577557754E-2</v>
      </c>
      <c r="I4" s="5">
        <f>((Table1[[#This Row],[FY22]]/Table1[[#This Row],[FY20]])^0.5)-1</f>
        <v>4.2324650944273623E-2</v>
      </c>
    </row>
    <row r="5" spans="1:9" x14ac:dyDescent="0.3">
      <c r="B5" t="s">
        <v>9</v>
      </c>
      <c r="C5" s="3">
        <v>636000000</v>
      </c>
      <c r="D5" s="3">
        <v>665000000</v>
      </c>
      <c r="E5" s="3">
        <v>723000000</v>
      </c>
      <c r="G5" s="5">
        <f>(Table1[[#This Row],[FY21]]-Table1[[#This Row],[FY20]])/Table1[[#This Row],[FY20]]</f>
        <v>4.5597484276729557E-2</v>
      </c>
      <c r="H5" s="5">
        <f>(Table1[[#This Row],[FY22]]-Table1[[#This Row],[FY21]])/Table1[[#This Row],[FY21]]</f>
        <v>8.7218045112781958E-2</v>
      </c>
      <c r="I5" s="5">
        <f>((Table1[[#This Row],[FY22]]/Table1[[#This Row],[FY20]])^0.5)-1</f>
        <v>6.6204695558122584E-2</v>
      </c>
    </row>
    <row r="6" spans="1:9" x14ac:dyDescent="0.3">
      <c r="B6" t="s">
        <v>10</v>
      </c>
      <c r="C6" s="3">
        <v>539000000</v>
      </c>
      <c r="D6" s="3">
        <v>484000000</v>
      </c>
      <c r="E6" s="3">
        <v>501000000</v>
      </c>
      <c r="G6" s="5">
        <f>(Table1[[#This Row],[FY21]]-Table1[[#This Row],[FY20]])/Table1[[#This Row],[FY20]]</f>
        <v>-0.10204081632653061</v>
      </c>
      <c r="H6" s="5">
        <f>(Table1[[#This Row],[FY22]]-Table1[[#This Row],[FY21]])/Table1[[#This Row],[FY21]]</f>
        <v>3.5123966942148761E-2</v>
      </c>
      <c r="I6" s="5">
        <f>((Table1[[#This Row],[FY22]]/Table1[[#This Row],[FY20]])^0.5)-1</f>
        <v>-3.5894677767923988E-2</v>
      </c>
    </row>
    <row r="7" spans="1:9" x14ac:dyDescent="0.3">
      <c r="B7" t="s">
        <v>11</v>
      </c>
      <c r="C7" s="3">
        <v>939000000</v>
      </c>
      <c r="D7" s="3">
        <v>969000000</v>
      </c>
      <c r="E7" s="3">
        <v>1107000000</v>
      </c>
      <c r="G7" s="5">
        <f>(Table1[[#This Row],[FY21]]-Table1[[#This Row],[FY20]])/Table1[[#This Row],[FY20]]</f>
        <v>3.1948881789137379E-2</v>
      </c>
      <c r="H7" s="5">
        <f>(Table1[[#This Row],[FY22]]-Table1[[#This Row],[FY21]])/Table1[[#This Row],[FY21]]</f>
        <v>0.14241486068111456</v>
      </c>
      <c r="I7" s="5">
        <f>((Table1[[#This Row],[FY22]]/Table1[[#This Row],[FY20]])^0.5)-1</f>
        <v>8.5777941394634016E-2</v>
      </c>
    </row>
    <row r="8" spans="1:9" x14ac:dyDescent="0.3">
      <c r="B8" t="s">
        <v>12</v>
      </c>
      <c r="C8" s="3">
        <v>1081000000</v>
      </c>
      <c r="D8" s="3">
        <v>1189000000</v>
      </c>
      <c r="E8" s="3">
        <v>1370000000</v>
      </c>
      <c r="G8" s="5">
        <f>(Table1[[#This Row],[FY21]]-Table1[[#This Row],[FY20]])/Table1[[#This Row],[FY20]]</f>
        <v>9.9907493061979644E-2</v>
      </c>
      <c r="H8" s="5">
        <f>(Table1[[#This Row],[FY22]]-Table1[[#This Row],[FY21]])/Table1[[#This Row],[FY21]]</f>
        <v>0.15222876366694701</v>
      </c>
      <c r="I8" s="5">
        <f>((Table1[[#This Row],[FY22]]/Table1[[#This Row],[FY20]])^0.5)-1</f>
        <v>0.12576420749587514</v>
      </c>
    </row>
    <row r="9" spans="1:9" x14ac:dyDescent="0.3">
      <c r="B9" t="s">
        <v>13</v>
      </c>
      <c r="C9" s="3">
        <v>525000000</v>
      </c>
      <c r="D9" s="3">
        <v>578000000</v>
      </c>
      <c r="E9" s="3">
        <v>598000000</v>
      </c>
      <c r="G9" s="5">
        <f>(Table1[[#This Row],[FY21]]-Table1[[#This Row],[FY20]])/Table1[[#This Row],[FY20]]</f>
        <v>0.10095238095238095</v>
      </c>
      <c r="H9" s="5">
        <f>(Table1[[#This Row],[FY22]]-Table1[[#This Row],[FY21]])/Table1[[#This Row],[FY21]]</f>
        <v>3.4602076124567477E-2</v>
      </c>
      <c r="I9" s="5">
        <f>((Table1[[#This Row],[FY22]]/Table1[[#This Row],[FY20]])^0.5)-1</f>
        <v>6.726173877246211E-2</v>
      </c>
    </row>
    <row r="10" spans="1:9" x14ac:dyDescent="0.3">
      <c r="A10" s="1" t="s">
        <v>18</v>
      </c>
      <c r="B10" t="s">
        <v>19</v>
      </c>
      <c r="C10" s="3">
        <v>1255000000</v>
      </c>
      <c r="D10" s="3">
        <v>1194000000</v>
      </c>
      <c r="E10" s="3">
        <v>1394000000</v>
      </c>
      <c r="G10" s="5">
        <f>(Table1[[#This Row],[FY21]]-Table1[[#This Row],[FY20]])/Table1[[#This Row],[FY20]]</f>
        <v>-4.8605577689243028E-2</v>
      </c>
      <c r="H10" s="5">
        <f>(Table1[[#This Row],[FY22]]-Table1[[#This Row],[FY21]])/Table1[[#This Row],[FY21]]</f>
        <v>0.16750418760469013</v>
      </c>
      <c r="I10" s="5">
        <f>((Table1[[#This Row],[FY22]]/Table1[[#This Row],[FY20]])^0.5)-1</f>
        <v>5.3924557125202277E-2</v>
      </c>
    </row>
    <row r="11" spans="1:9" x14ac:dyDescent="0.3">
      <c r="B11" t="s">
        <v>20</v>
      </c>
      <c r="C11" s="3">
        <v>854000000</v>
      </c>
      <c r="D11" s="3">
        <v>790000000</v>
      </c>
      <c r="E11" s="3">
        <v>763000000</v>
      </c>
      <c r="G11" s="5">
        <f>(Table1[[#This Row],[FY21]]-Table1[[#This Row],[FY20]])/Table1[[#This Row],[FY20]]</f>
        <v>-7.4941451990632318E-2</v>
      </c>
      <c r="H11" s="5">
        <f>(Table1[[#This Row],[FY22]]-Table1[[#This Row],[FY21]])/Table1[[#This Row],[FY21]]</f>
        <v>-3.4177215189873419E-2</v>
      </c>
      <c r="I11" s="5">
        <f>((Table1[[#This Row],[FY22]]/Table1[[#This Row],[FY20]])^0.5)-1</f>
        <v>-5.4779061303221188E-2</v>
      </c>
    </row>
    <row r="12" spans="1:9" x14ac:dyDescent="0.3">
      <c r="B12" t="s">
        <v>21</v>
      </c>
      <c r="C12" s="3">
        <v>565000000</v>
      </c>
      <c r="D12" s="3">
        <v>584000000</v>
      </c>
      <c r="E12" s="3">
        <v>654000000</v>
      </c>
      <c r="G12" s="5">
        <f>(Table1[[#This Row],[FY21]]-Table1[[#This Row],[FY20]])/Table1[[#This Row],[FY20]]</f>
        <v>3.3628318584070796E-2</v>
      </c>
      <c r="H12" s="5">
        <f>(Table1[[#This Row],[FY22]]-Table1[[#This Row],[FY21]])/Table1[[#This Row],[FY21]]</f>
        <v>0.11986301369863013</v>
      </c>
      <c r="I12" s="5">
        <f>((Table1[[#This Row],[FY22]]/Table1[[#This Row],[FY20]])^0.5)-1</f>
        <v>7.5882021363776309E-2</v>
      </c>
    </row>
    <row r="13" spans="1:9" x14ac:dyDescent="0.3">
      <c r="B13" t="s">
        <v>22</v>
      </c>
      <c r="C13" s="3">
        <v>366000000</v>
      </c>
      <c r="D13" s="3">
        <v>350000000</v>
      </c>
      <c r="E13" s="3">
        <v>477000000</v>
      </c>
      <c r="G13" s="5">
        <f>(Table1[[#This Row],[FY21]]-Table1[[#This Row],[FY20]])/Table1[[#This Row],[FY20]]</f>
        <v>-4.3715846994535519E-2</v>
      </c>
      <c r="H13" s="5">
        <f>(Table1[[#This Row],[FY22]]-Table1[[#This Row],[FY21]])/Table1[[#This Row],[FY21]]</f>
        <v>0.36285714285714288</v>
      </c>
      <c r="I13" s="5">
        <f>((Table1[[#This Row],[FY22]]/Table1[[#This Row],[FY20]])^0.5)-1</f>
        <v>0.14161231971479271</v>
      </c>
    </row>
    <row r="14" spans="1:9" x14ac:dyDescent="0.3">
      <c r="B14" t="s">
        <v>23</v>
      </c>
      <c r="C14" s="3">
        <v>429000000</v>
      </c>
      <c r="D14" s="3">
        <v>665000000</v>
      </c>
      <c r="E14" s="3">
        <v>628000000</v>
      </c>
      <c r="G14" s="5">
        <f>(Table1[[#This Row],[FY21]]-Table1[[#This Row],[FY20]])/Table1[[#This Row],[FY20]]</f>
        <v>0.55011655011655014</v>
      </c>
      <c r="H14" s="5">
        <f>(Table1[[#This Row],[FY22]]-Table1[[#This Row],[FY21]])/Table1[[#This Row],[FY21]]</f>
        <v>-5.5639097744360905E-2</v>
      </c>
      <c r="I14" s="5">
        <f>((Table1[[#This Row],[FY22]]/Table1[[#This Row],[FY20]])^0.5)-1</f>
        <v>0.20990473338584126</v>
      </c>
    </row>
    <row r="15" spans="1:9" x14ac:dyDescent="0.3">
      <c r="B15" t="s">
        <v>24</v>
      </c>
      <c r="C15" s="3">
        <v>154000000</v>
      </c>
      <c r="D15" s="3">
        <v>157000000</v>
      </c>
      <c r="E15" s="3">
        <v>187000000</v>
      </c>
      <c r="G15" s="5">
        <f>(Table1[[#This Row],[FY21]]-Table1[[#This Row],[FY20]])/Table1[[#This Row],[FY20]]</f>
        <v>1.948051948051948E-2</v>
      </c>
      <c r="H15" s="5">
        <f>(Table1[[#This Row],[FY22]]-Table1[[#This Row],[FY21]])/Table1[[#This Row],[FY21]]</f>
        <v>0.19108280254777071</v>
      </c>
      <c r="I15" s="5">
        <f>((Table1[[#This Row],[FY22]]/Table1[[#This Row],[FY20]])^0.5)-1</f>
        <v>0.10194633003867937</v>
      </c>
    </row>
    <row r="16" spans="1:9" x14ac:dyDescent="0.3">
      <c r="B16" t="s">
        <v>25</v>
      </c>
      <c r="C16" s="3">
        <v>97000000</v>
      </c>
      <c r="D16" s="3">
        <v>145000000</v>
      </c>
      <c r="E16" s="3">
        <v>196000000</v>
      </c>
      <c r="G16" s="5">
        <f>(Table1[[#This Row],[FY21]]-Table1[[#This Row],[FY20]])/Table1[[#This Row],[FY20]]</f>
        <v>0.49484536082474229</v>
      </c>
      <c r="H16" s="5">
        <f>(Table1[[#This Row],[FY22]]-Table1[[#This Row],[FY21]])/Table1[[#This Row],[FY21]]</f>
        <v>0.35172413793103446</v>
      </c>
      <c r="I16" s="5">
        <f>((Table1[[#This Row],[FY22]]/Table1[[#This Row],[FY20]])^0.5)-1</f>
        <v>0.42148463118706658</v>
      </c>
    </row>
    <row r="17" spans="1:9" x14ac:dyDescent="0.3">
      <c r="A17" s="1" t="s">
        <v>26</v>
      </c>
      <c r="B17" t="s">
        <v>27</v>
      </c>
      <c r="C17" s="3">
        <v>518000000</v>
      </c>
      <c r="D17" s="3">
        <v>590000000</v>
      </c>
      <c r="E17" s="3">
        <v>711000000</v>
      </c>
      <c r="G17" s="5">
        <f>(Table1[[#This Row],[FY21]]-Table1[[#This Row],[FY20]])/Table1[[#This Row],[FY20]]</f>
        <v>0.138996138996139</v>
      </c>
      <c r="H17" s="5">
        <f>(Table1[[#This Row],[FY22]]-Table1[[#This Row],[FY21]])/Table1[[#This Row],[FY21]]</f>
        <v>0.20508474576271185</v>
      </c>
      <c r="I17" s="5">
        <f>((Table1[[#This Row],[FY22]]/Table1[[#This Row],[FY20]])^0.5)-1</f>
        <v>0.17157452711591192</v>
      </c>
    </row>
    <row r="18" spans="1:9" x14ac:dyDescent="0.3">
      <c r="B18" t="s">
        <v>28</v>
      </c>
      <c r="C18" s="3">
        <v>731000</v>
      </c>
      <c r="D18" s="3">
        <v>854000</v>
      </c>
      <c r="E18" s="3">
        <v>1058000</v>
      </c>
      <c r="G18" s="5">
        <f>(Table1[[#This Row],[FY21]]-Table1[[#This Row],[FY20]])/Table1[[#This Row],[FY20]]</f>
        <v>0.16826265389876882</v>
      </c>
      <c r="H18" s="5">
        <f>(Table1[[#This Row],[FY22]]-Table1[[#This Row],[FY21]])/Table1[[#This Row],[FY21]]</f>
        <v>0.2388758782201405</v>
      </c>
      <c r="I18" s="5">
        <f>((Table1[[#This Row],[FY22]]/Table1[[#This Row],[FY20]])^0.5)-1</f>
        <v>0.20305129622166551</v>
      </c>
    </row>
    <row r="19" spans="1:9" x14ac:dyDescent="0.3">
      <c r="B19" t="s">
        <v>29</v>
      </c>
      <c r="C19" s="7">
        <v>0.51</v>
      </c>
      <c r="D19" s="5">
        <v>0.51</v>
      </c>
      <c r="E19" s="5">
        <v>0.55000000000000004</v>
      </c>
      <c r="G19" s="5">
        <f>(Table1[[#This Row],[FY21]]-Table1[[#This Row],[FY20]])/Table1[[#This Row],[FY20]]</f>
        <v>0</v>
      </c>
      <c r="H19" s="5">
        <f>(Table1[[#This Row],[FY22]]-Table1[[#This Row],[FY21]])/Table1[[#This Row],[FY21]]</f>
        <v>7.8431372549019676E-2</v>
      </c>
      <c r="I19" s="5">
        <f>((Table1[[#This Row],[FY22]]/Table1[[#This Row],[FY20]])^0.5)-1</f>
        <v>3.847550406787148E-2</v>
      </c>
    </row>
    <row r="20" spans="1:9" x14ac:dyDescent="0.3">
      <c r="B20" t="s">
        <v>30</v>
      </c>
      <c r="C20" s="3">
        <v>438000000</v>
      </c>
      <c r="D20" s="3">
        <v>485000000</v>
      </c>
      <c r="E20" s="3">
        <v>594000000</v>
      </c>
      <c r="G20" s="5">
        <f>(Table1[[#This Row],[FY21]]-Table1[[#This Row],[FY20]])/Table1[[#This Row],[FY20]]</f>
        <v>0.10730593607305935</v>
      </c>
      <c r="H20" s="5">
        <f>(Table1[[#This Row],[FY22]]-Table1[[#This Row],[FY21]])/Table1[[#This Row],[FY21]]</f>
        <v>0.22474226804123712</v>
      </c>
      <c r="I20" s="5">
        <f>((Table1[[#This Row],[FY22]]/Table1[[#This Row],[FY20]])^0.5)-1</f>
        <v>0.1645447108469662</v>
      </c>
    </row>
    <row r="21" spans="1:9" x14ac:dyDescent="0.3">
      <c r="B21" t="s">
        <v>31</v>
      </c>
      <c r="C21" s="3">
        <v>760000000</v>
      </c>
      <c r="D21" s="3">
        <v>838000000</v>
      </c>
      <c r="E21" s="3">
        <v>902000000</v>
      </c>
      <c r="G21" s="5">
        <f>(Table1[[#This Row],[FY21]]-Table1[[#This Row],[FY20]])/Table1[[#This Row],[FY20]]</f>
        <v>0.10263157894736842</v>
      </c>
      <c r="H21" s="5">
        <f>(Table1[[#This Row],[FY22]]-Table1[[#This Row],[FY21]])/Table1[[#This Row],[FY21]]</f>
        <v>7.6372315035799526E-2</v>
      </c>
      <c r="I21" s="5">
        <f>((Table1[[#This Row],[FY22]]/Table1[[#This Row],[FY20]])^0.5)-1</f>
        <v>8.9422831256605217E-2</v>
      </c>
    </row>
    <row r="22" spans="1:9" x14ac:dyDescent="0.3">
      <c r="B22" s="1" t="s">
        <v>32</v>
      </c>
      <c r="C22" s="4">
        <v>1199000000</v>
      </c>
      <c r="D22" s="4">
        <v>1323000000</v>
      </c>
      <c r="E22" s="4">
        <v>1496000000</v>
      </c>
      <c r="G22" s="5">
        <f>(Table1[[#This Row],[FY21]]-Table1[[#This Row],[FY20]])/Table1[[#This Row],[FY20]]</f>
        <v>0.10341951626355296</v>
      </c>
      <c r="H22" s="5">
        <f>(Table1[[#This Row],[FY22]]-Table1[[#This Row],[FY21]])/Table1[[#This Row],[FY21]]</f>
        <v>0.1307634164777022</v>
      </c>
      <c r="I22" s="5">
        <f>((Table1[[#This Row],[FY22]]/Table1[[#This Row],[FY20]])^0.5)-1</f>
        <v>0.11700779854858157</v>
      </c>
    </row>
    <row r="23" spans="1:9" x14ac:dyDescent="0.3">
      <c r="A23" s="1" t="s">
        <v>33</v>
      </c>
      <c r="B23" t="s">
        <v>34</v>
      </c>
      <c r="C23" s="8">
        <v>709</v>
      </c>
      <c r="D23" s="8">
        <v>691</v>
      </c>
      <c r="E23" s="8">
        <v>672</v>
      </c>
      <c r="G23" s="5">
        <f>(Table1[[#This Row],[FY21]]-Table1[[#This Row],[FY20]])/Table1[[#This Row],[FY20]]</f>
        <v>-2.5387870239774329E-2</v>
      </c>
      <c r="H23" s="5">
        <f>(Table1[[#This Row],[FY22]]-Table1[[#This Row],[FY21]])/Table1[[#This Row],[FY21]]</f>
        <v>-2.7496382054992764E-2</v>
      </c>
      <c r="I23" s="5">
        <f>((Table1[[#This Row],[FY22]]/Table1[[#This Row],[FY20]])^0.5)-1</f>
        <v>-2.6442696969044222E-2</v>
      </c>
    </row>
    <row r="24" spans="1:9" x14ac:dyDescent="0.3">
      <c r="B24" t="s">
        <v>35</v>
      </c>
      <c r="C24" s="8">
        <v>20510</v>
      </c>
      <c r="D24" s="8">
        <v>21045</v>
      </c>
      <c r="E24" s="8">
        <v>22699</v>
      </c>
      <c r="G24" s="5">
        <f>(Table1[[#This Row],[FY21]]-Table1[[#This Row],[FY20]])/Table1[[#This Row],[FY20]]</f>
        <v>2.6084836665041442E-2</v>
      </c>
      <c r="H24" s="5">
        <f>(Table1[[#This Row],[FY22]]-Table1[[#This Row],[FY21]])/Table1[[#This Row],[FY21]]</f>
        <v>7.8593490140175817E-2</v>
      </c>
      <c r="I24" s="5">
        <f>((Table1[[#This Row],[FY22]]/Table1[[#This Row],[FY20]])^0.5)-1</f>
        <v>5.2011608851565416E-2</v>
      </c>
    </row>
    <row r="25" spans="1:9" x14ac:dyDescent="0.3">
      <c r="A25" s="1" t="s">
        <v>36</v>
      </c>
      <c r="B25" t="s">
        <v>37</v>
      </c>
      <c r="C25" s="5">
        <v>0.56999999999999995</v>
      </c>
      <c r="D25" s="5">
        <v>0.56000000000000005</v>
      </c>
      <c r="E25" s="5">
        <v>0.51</v>
      </c>
      <c r="G25" s="5">
        <f>(Table1[[#This Row],[FY21]]-Table1[[#This Row],[FY20]])/Table1[[#This Row],[FY20]]</f>
        <v>-1.7543859649122629E-2</v>
      </c>
      <c r="H25" s="5">
        <f>(Table1[[#This Row],[FY22]]-Table1[[#This Row],[FY21]])/Table1[[#This Row],[FY21]]</f>
        <v>-8.9285714285714357E-2</v>
      </c>
      <c r="I25" s="5">
        <f>((Table1[[#This Row],[FY22]]/Table1[[#This Row],[FY20]])^0.5)-1</f>
        <v>-5.4094697073082676E-2</v>
      </c>
    </row>
    <row r="26" spans="1:9" x14ac:dyDescent="0.3">
      <c r="B26" s="1" t="s">
        <v>38</v>
      </c>
      <c r="C26" s="9">
        <v>0.83</v>
      </c>
      <c r="D26" s="9">
        <v>0.85</v>
      </c>
      <c r="E26" s="9">
        <v>0.85</v>
      </c>
      <c r="G26" s="5">
        <f>(Table1[[#This Row],[FY21]]-Table1[[#This Row],[FY20]])/Table1[[#This Row],[FY20]]</f>
        <v>2.4096385542168697E-2</v>
      </c>
      <c r="H26" s="5">
        <f>(Table1[[#This Row],[FY22]]-Table1[[#This Row],[FY21]])/Table1[[#This Row],[FY21]]</f>
        <v>0</v>
      </c>
      <c r="I26" s="5">
        <f>((Table1[[#This Row],[FY22]]/Table1[[#This Row],[FY20]])^0.5)-1</f>
        <v>1.1976474796805192E-2</v>
      </c>
    </row>
  </sheetData>
  <conditionalFormatting sqref="G2:G26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4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7">
      <colorScale>
        <cfvo type="min"/>
        <cfvo type="max"/>
        <color rgb="FFFCFCFF"/>
        <color rgb="FF63BE7B"/>
      </colorScale>
    </cfRule>
  </conditionalFormatting>
  <conditionalFormatting sqref="G5:G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4">
    <cfRule type="colorScale" priority="25">
      <colorScale>
        <cfvo type="min"/>
        <cfvo type="max"/>
        <color rgb="FFFCFCFF"/>
        <color rgb="FF63BE7B"/>
      </colorScale>
    </cfRule>
  </conditionalFormatting>
  <conditionalFormatting sqref="H5:H9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">
      <colorScale>
        <cfvo type="min"/>
        <cfvo type="max"/>
        <color rgb="FFFCFCFF"/>
        <color rgb="FF63BE7B"/>
      </colorScale>
    </cfRule>
  </conditionalFormatting>
  <conditionalFormatting sqref="H5:H9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4">
    <cfRule type="colorScale" priority="21">
      <colorScale>
        <cfvo type="min"/>
        <cfvo type="max"/>
        <color rgb="FFFCFCFF"/>
        <color rgb="FF63BE7B"/>
      </colorScale>
    </cfRule>
  </conditionalFormatting>
  <conditionalFormatting sqref="I5:I9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:G16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:H16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:H16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:I16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:I16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18">
    <cfRule type="colorScale" priority="14">
      <colorScale>
        <cfvo type="min"/>
        <cfvo type="max"/>
        <color rgb="FFFCFCFF"/>
        <color rgb="FF63BE7B"/>
      </colorScale>
    </cfRule>
  </conditionalFormatting>
  <conditionalFormatting sqref="H17:H1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7:H18">
    <cfRule type="colorScale" priority="12">
      <colorScale>
        <cfvo type="min"/>
        <cfvo type="max"/>
        <color rgb="FFFCFCFF"/>
        <color rgb="FF63BE7B"/>
      </colorScale>
    </cfRule>
  </conditionalFormatting>
  <conditionalFormatting sqref="I17:I1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7:I18">
    <cfRule type="colorScale" priority="10">
      <colorScale>
        <cfvo type="min"/>
        <cfvo type="max"/>
        <color rgb="FFFCFCFF"/>
        <color rgb="FF63BE7B"/>
      </colorScale>
    </cfRule>
  </conditionalFormatting>
  <conditionalFormatting sqref="G19:G22">
    <cfRule type="colorScale" priority="9">
      <colorScale>
        <cfvo type="min"/>
        <cfvo type="max"/>
        <color rgb="FFFCFCFF"/>
        <color rgb="FFF8696B"/>
      </colorScale>
    </cfRule>
  </conditionalFormatting>
  <conditionalFormatting sqref="H19:H2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2">
    <cfRule type="colorScale" priority="7">
      <colorScale>
        <cfvo type="min"/>
        <cfvo type="max"/>
        <color rgb="FFFCFCFF"/>
        <color rgb="FFF8696B"/>
      </colorScale>
    </cfRule>
  </conditionalFormatting>
  <conditionalFormatting sqref="I19:I2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2">
    <cfRule type="colorScale" priority="5">
      <colorScale>
        <cfvo type="min"/>
        <cfvo type="max"/>
        <color rgb="FFFCFCFF"/>
        <color rgb="FFF8696B"/>
      </colorScale>
    </cfRule>
  </conditionalFormatting>
  <conditionalFormatting sqref="G19:I22">
    <cfRule type="colorScale" priority="4">
      <colorScale>
        <cfvo type="min"/>
        <cfvo type="max"/>
        <color rgb="FFFCFCFF"/>
        <color rgb="FFF8696B"/>
      </colorScale>
    </cfRule>
  </conditionalFormatting>
  <conditionalFormatting sqref="G17:I18">
    <cfRule type="colorScale" priority="3">
      <colorScale>
        <cfvo type="min"/>
        <cfvo type="max"/>
        <color rgb="FFFCFCFF"/>
        <color rgb="FF63BE7B"/>
      </colorScale>
    </cfRule>
  </conditionalFormatting>
  <conditionalFormatting sqref="G25:I2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3:I2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001B3C82-6ED1-431A-96C4-769EE9508C38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  <x14:sparkline>
              <xm:f>Sheet1!C11:E11</xm:f>
              <xm:sqref>F11</xm:sqref>
            </x14:sparkline>
            <x14:sparkline>
              <xm:f>Sheet1!C12:E12</xm:f>
              <xm:sqref>F12</xm:sqref>
            </x14:sparkline>
            <x14:sparkline>
              <xm:f>Sheet1!C13:E13</xm:f>
              <xm:sqref>F13</xm:sqref>
            </x14:sparkline>
            <x14:sparkline>
              <xm:f>Sheet1!C14:E14</xm:f>
              <xm:sqref>F14</xm:sqref>
            </x14:sparkline>
            <x14:sparkline>
              <xm:f>Sheet1!C15:E15</xm:f>
              <xm:sqref>F15</xm:sqref>
            </x14:sparkline>
            <x14:sparkline>
              <xm:f>Sheet1!C16:E16</xm:f>
              <xm:sqref>F16</xm:sqref>
            </x14:sparkline>
            <x14:sparkline>
              <xm:f>Sheet1!C17:E17</xm:f>
              <xm:sqref>F17</xm:sqref>
            </x14:sparkline>
            <x14:sparkline>
              <xm:f>Sheet1!C18:E18</xm:f>
              <xm:sqref>F18</xm:sqref>
            </x14:sparkline>
            <x14:sparkline>
              <xm:f>Sheet1!C19:E19</xm:f>
              <xm:sqref>F19</xm:sqref>
            </x14:sparkline>
            <x14:sparkline>
              <xm:f>Sheet1!C20:E20</xm:f>
              <xm:sqref>F20</xm:sqref>
            </x14:sparkline>
            <x14:sparkline>
              <xm:f>Sheet1!C21:E21</xm:f>
              <xm:sqref>F21</xm:sqref>
            </x14:sparkline>
            <x14:sparkline>
              <xm:f>Sheet1!C22:E22</xm:f>
              <xm:sqref>F22</xm:sqref>
            </x14:sparkline>
            <x14:sparkline>
              <xm:f>Sheet1!C23:E23</xm:f>
              <xm:sqref>F23</xm:sqref>
            </x14:sparkline>
            <x14:sparkline>
              <xm:f>Sheet1!C24:E24</xm:f>
              <xm:sqref>F24</xm:sqref>
            </x14:sparkline>
            <x14:sparkline>
              <xm:f>Sheet1!C25:E25</xm:f>
              <xm:sqref>F25</xm:sqref>
            </x14:sparkline>
            <x14:sparkline>
              <xm:f>Sheet1!C26:E26</xm:f>
              <xm:sqref>F26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2026-04-26T12:10:31Z</dcterms:modified>
</cp:coreProperties>
</file>