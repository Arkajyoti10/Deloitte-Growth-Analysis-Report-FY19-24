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19-21)\"/>
    </mc:Choice>
  </mc:AlternateContent>
  <xr:revisionPtr revIDLastSave="0" documentId="13_ncr:1_{C47C8DFB-606E-48FC-814B-36B6E62B4A37}" xr6:coauthVersionLast="47" xr6:coauthVersionMax="47" xr10:uidLastSave="{00000000-0000-0000-0000-000000000000}"/>
  <bookViews>
    <workbookView minimized="1" xWindow="6120" yWindow="3708" windowWidth="17268" windowHeight="888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31" i="1"/>
  <c r="H32" i="1"/>
  <c r="H33" i="1"/>
  <c r="H34" i="1"/>
  <c r="H35" i="1"/>
  <c r="H36" i="1"/>
  <c r="H37" i="1"/>
  <c r="G31" i="1"/>
  <c r="G32" i="1"/>
  <c r="G33" i="1"/>
  <c r="G34" i="1"/>
  <c r="G35" i="1"/>
  <c r="G36" i="1"/>
  <c r="G37" i="1"/>
  <c r="I37" i="1"/>
  <c r="I36" i="1"/>
  <c r="I35" i="1"/>
  <c r="I34" i="1"/>
  <c r="I33" i="1"/>
  <c r="I32" i="1"/>
  <c r="I31" i="1"/>
  <c r="G30" i="1"/>
  <c r="H30" i="1"/>
  <c r="I30" i="1"/>
  <c r="I29" i="1"/>
  <c r="I28" i="1"/>
  <c r="H27" i="1"/>
  <c r="H28" i="1"/>
  <c r="H29" i="1"/>
  <c r="G27" i="1"/>
  <c r="I27" i="1"/>
  <c r="G26" i="1"/>
  <c r="H26" i="1"/>
  <c r="I26" i="1"/>
  <c r="H18" i="1"/>
  <c r="H19" i="1"/>
  <c r="H20" i="1"/>
  <c r="H21" i="1"/>
  <c r="H22" i="1"/>
  <c r="H23" i="1"/>
  <c r="H24" i="1"/>
  <c r="H25" i="1"/>
  <c r="G18" i="1"/>
  <c r="G19" i="1"/>
  <c r="G20" i="1"/>
  <c r="G21" i="1"/>
  <c r="G22" i="1"/>
  <c r="G23" i="1"/>
  <c r="G24" i="1"/>
  <c r="G25" i="1"/>
  <c r="I25" i="1"/>
  <c r="I24" i="1"/>
  <c r="I23" i="1"/>
  <c r="I22" i="1"/>
  <c r="I21" i="1"/>
  <c r="I20" i="1"/>
  <c r="I19" i="1"/>
  <c r="I18" i="1"/>
  <c r="G17" i="1"/>
  <c r="H17" i="1"/>
  <c r="I17" i="1"/>
  <c r="E16" i="1"/>
  <c r="E15" i="1"/>
  <c r="E14" i="1"/>
  <c r="H10" i="1"/>
  <c r="H12" i="1"/>
  <c r="H13" i="1"/>
  <c r="G12" i="1"/>
  <c r="G13" i="1"/>
  <c r="I10" i="1"/>
  <c r="I2" i="1"/>
  <c r="I3" i="1"/>
  <c r="I4" i="1"/>
  <c r="I5" i="1"/>
  <c r="I6" i="1"/>
  <c r="I7" i="1"/>
  <c r="I8" i="1"/>
  <c r="I9" i="1"/>
  <c r="I12" i="1"/>
  <c r="I13" i="1"/>
  <c r="G9" i="1"/>
  <c r="H9" i="1"/>
  <c r="H3" i="1"/>
  <c r="H4" i="1"/>
  <c r="H5" i="1"/>
  <c r="H6" i="1"/>
  <c r="H7" i="1"/>
  <c r="G3" i="1"/>
  <c r="G4" i="1"/>
  <c r="G5" i="1"/>
  <c r="G6" i="1"/>
  <c r="G7" i="1"/>
  <c r="H8" i="1"/>
  <c r="H2" i="1"/>
  <c r="G8" i="1"/>
</calcChain>
</file>

<file path=xl/sharedStrings.xml><?xml version="1.0" encoding="utf-8"?>
<sst xmlns="http://schemas.openxmlformats.org/spreadsheetml/2006/main" count="76" uniqueCount="52">
  <si>
    <t>METRICS</t>
  </si>
  <si>
    <t>CATEGORY</t>
  </si>
  <si>
    <t>FY19</t>
  </si>
  <si>
    <t>FY20</t>
  </si>
  <si>
    <t>FY21</t>
  </si>
  <si>
    <t>Scope</t>
  </si>
  <si>
    <t>Learning and development spend</t>
  </si>
  <si>
    <t>Number of hours on learning and development</t>
  </si>
  <si>
    <t>Number of promotions across the busines</t>
  </si>
  <si>
    <t>Number of partner and director promotions</t>
  </si>
  <si>
    <t>Numbe of experienced hires recruited</t>
  </si>
  <si>
    <t>Number of graduates, school leavers, interns and work placements</t>
  </si>
  <si>
    <t xml:space="preserve">Standard voluntary attrition rate </t>
  </si>
  <si>
    <t>YoY (19-20)</t>
  </si>
  <si>
    <t>YoY (20-21)</t>
  </si>
  <si>
    <t>CAGR</t>
  </si>
  <si>
    <t>YEARLY TRENDS</t>
  </si>
  <si>
    <t>Gender</t>
  </si>
  <si>
    <t>% of Women on the UK Executive</t>
  </si>
  <si>
    <t>% of Women on the UK Oversight Board (including INEs)</t>
  </si>
  <si>
    <t>% of Female Partners</t>
  </si>
  <si>
    <t>% of Female Employees</t>
  </si>
  <si>
    <t>% of Women on the Audit Governance Board (AGB)</t>
  </si>
  <si>
    <t>NA</t>
  </si>
  <si>
    <t>CEO to Employee pay ratio</t>
  </si>
  <si>
    <t>25th percentile</t>
  </si>
  <si>
    <t>Median</t>
  </si>
  <si>
    <t>75th Percentile</t>
  </si>
  <si>
    <t>Gender Pay Gap</t>
  </si>
  <si>
    <t>Gender pay gap using mean hourly pay</t>
  </si>
  <si>
    <t>Gender pay gap using median hourly pay</t>
  </si>
  <si>
    <t>Average mean gender pay gap within grade pools</t>
  </si>
  <si>
    <t>Gender bonus gap using mean bonus</t>
  </si>
  <si>
    <t>Gender bonus gap using median bonus</t>
  </si>
  <si>
    <t>Equity partner gap using mean hourly pay</t>
  </si>
  <si>
    <t>Equity partner gap using median hourly pay</t>
  </si>
  <si>
    <t>Total earnings gap using mean hourly pay</t>
  </si>
  <si>
    <t>Total earnings gap using median hourly pay</t>
  </si>
  <si>
    <t>Ethnic Group</t>
  </si>
  <si>
    <t>% Of ethnic minority employees (excluding Black employees)</t>
  </si>
  <si>
    <t>% Of ethnic minority partners (excluding Black partners)</t>
  </si>
  <si>
    <t>% of Black employees</t>
  </si>
  <si>
    <t>% of Black partners</t>
  </si>
  <si>
    <t>Ethnic Pay Gap</t>
  </si>
  <si>
    <t>Ethinicity pay gap using mean hourly pay</t>
  </si>
  <si>
    <t>Ethinicity pay gap using median hourly pay</t>
  </si>
  <si>
    <t>Ethinicity bonus gap using mean bonus</t>
  </si>
  <si>
    <t>Ethinicity bonus gap using median bonus</t>
  </si>
  <si>
    <t>Ethnicity equity partner gap using mean hourly pay</t>
  </si>
  <si>
    <t>Ethinicity total earnings gap using mean hourly pay</t>
  </si>
  <si>
    <t>Ethnicity equity partner gap using median hourly pay</t>
  </si>
  <si>
    <t>Ethinicity total earnings gap using median hourly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</si>
</sst>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£-809]* #,##0.00_-;\-[$£-809]* #,##0.00_-;_-[$£-809]* &quot;-&quot;??_-;_-@_-"/>
    <numFmt numFmtId="165" formatCode="_-[$£-809]* #,##0_-;\-[$£-809]* #,##0_-;_-[$£-809]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kaj\OneDrive\Desktop\Deloitte%20UK%20Reports%20Review%20(FY19-24)\Data%20Reports\Reports%20(FY19-21)\Community%20metrics%20(19-21).xlsx" TargetMode="External"/><Relationship Id="rId1" Type="http://schemas.openxmlformats.org/officeDocument/2006/relationships/externalLinkPath" Target="Community%20metrics%20(19-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G2">
            <v>-0.52124223364178957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4EA15-1176-4DB0-8D65-D4CFAD5C9476}" name="Table1" displayName="Table1" ref="A1:I37" totalsRowShown="0" headerRowDxfId="9">
  <autoFilter ref="A1:I37" xr:uid="{FFD4EA15-1176-4DB0-8D65-D4CFAD5C9476}"/>
  <tableColumns count="9">
    <tableColumn id="1" xr3:uid="{8C62F3C0-0AE2-4F7F-BCB4-92D95109581B}" name="METRICS" dataDxfId="8"/>
    <tableColumn id="2" xr3:uid="{E732A027-AFB6-43F2-9AFD-5591E62EE722}" name="CATEGORY" dataDxfId="7"/>
    <tableColumn id="3" xr3:uid="{EA4AC8CE-5593-4BA7-9ECB-5A4A3ADBCE1E}" name="FY19" dataDxfId="6"/>
    <tableColumn id="4" xr3:uid="{18CBF1D2-6EB4-44A1-8005-BF113B00B980}" name="FY20" dataDxfId="5"/>
    <tableColumn id="5" xr3:uid="{B3AB59A9-B9BF-4003-B9AD-A0427CE44816}" name="FY21" dataDxfId="4"/>
    <tableColumn id="9" xr3:uid="{7CDE8F99-D460-49B6-B377-074F3783667B}" name="YEARLY TRENDS" dataDxfId="3"/>
    <tableColumn id="6" xr3:uid="{7FE137C9-91D2-4907-97B2-4BBC2D9893A4}" name="YoY (19-20)" dataDxfId="2">
      <calculatedColumnFormula>(Table1[[#This Row],[FY20]]-Table1[[#This Row],[FY19]])/Table1[[#This Row],[FY19]]</calculatedColumnFormula>
    </tableColumn>
    <tableColumn id="7" xr3:uid="{EBC81549-166C-4432-9092-9DFC80C7A868}" name="YoY (20-21)" dataDxfId="1">
      <calculatedColumnFormula>(Table1[[#This Row],[FY21]]-Table1[[#This Row],[FY20]])/Table1[[#This Row],[FY20]]</calculatedColumnFormula>
    </tableColumn>
    <tableColumn id="8" xr3:uid="{5BEA6EA2-50F3-4BE9-BCE9-CA3DD2D37E50}" name="CAGR" dataDxfId="0">
      <calculatedColumnFormula>((Table1[[#This Row],[FY21]]/Table1[[#This Row],[FY19]])^0.5)-1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85" zoomScaleNormal="85" workbookViewId="0">
      <selection activeCell="I2" sqref="I2"/>
    </sheetView>
  </sheetViews>
  <sheetFormatPr defaultRowHeight="14.4" x14ac:dyDescent="0.3"/>
  <cols>
    <col min="1" max="1" width="25.6640625" style="1" customWidth="1"/>
    <col min="2" max="2" width="55.109375" style="1" customWidth="1"/>
    <col min="3" max="3" width="13.5546875" style="1" customWidth="1"/>
    <col min="4" max="4" width="13" style="1" customWidth="1"/>
    <col min="5" max="5" width="14.109375" style="1" customWidth="1"/>
    <col min="6" max="6" width="21.44140625" style="1" customWidth="1"/>
    <col min="7" max="7" width="16.6640625" style="6" customWidth="1"/>
    <col min="8" max="8" width="15.5546875" style="6" customWidth="1"/>
    <col min="9" max="9" width="16.33203125" style="6" customWidth="1"/>
  </cols>
  <sheetData>
    <row r="1" spans="1:10" ht="15.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16</v>
      </c>
      <c r="G1" s="11" t="s">
        <v>13</v>
      </c>
      <c r="H1" s="11" t="s">
        <v>14</v>
      </c>
      <c r="I1" s="11" t="s">
        <v>15</v>
      </c>
    </row>
    <row r="2" spans="1:10" x14ac:dyDescent="0.3">
      <c r="A2" s="2" t="s">
        <v>5</v>
      </c>
      <c r="B2" s="12" t="s">
        <v>6</v>
      </c>
      <c r="C2" s="3">
        <v>31100000</v>
      </c>
      <c r="D2" s="3">
        <v>38500000</v>
      </c>
      <c r="E2" s="3">
        <v>29500000</v>
      </c>
      <c r="F2" s="5"/>
      <c r="G2" s="6">
        <f>[1]Sheet1!$G$2</f>
        <v>-0.52124223364178957</v>
      </c>
      <c r="H2" s="6">
        <f>(Table1[[#This Row],[FY21]]-Table1[[#This Row],[FY20]])/Table1[[#This Row],[FY20]]</f>
        <v>-0.23376623376623376</v>
      </c>
      <c r="I2" s="6">
        <f>((Table1[[#This Row],[FY21]]/Table1[[#This Row],[FY19]])^0.5)-1</f>
        <v>-2.606311566797137E-2</v>
      </c>
    </row>
    <row r="3" spans="1:10" x14ac:dyDescent="0.3">
      <c r="B3" s="12" t="s">
        <v>7</v>
      </c>
      <c r="C3" s="1">
        <v>544223</v>
      </c>
      <c r="D3" s="1">
        <v>512834</v>
      </c>
      <c r="E3" s="1">
        <v>444044</v>
      </c>
      <c r="G3" s="6">
        <f>(Table1[[#This Row],[FY20]]-Table1[[#This Row],[FY19]])/Table1[[#This Row],[FY19]]</f>
        <v>-5.7676724430977745E-2</v>
      </c>
      <c r="H3" s="6">
        <f>(Table1[[#This Row],[FY21]]-Table1[[#This Row],[FY20]])/Table1[[#This Row],[FY20]]</f>
        <v>-0.13413697219763121</v>
      </c>
      <c r="I3" s="6">
        <f>((Table1[[#This Row],[FY21]]/Table1[[#This Row],[FY19]])^0.5)-1</f>
        <v>-9.6715501875051735E-2</v>
      </c>
    </row>
    <row r="4" spans="1:10" x14ac:dyDescent="0.3">
      <c r="B4" s="12" t="s">
        <v>8</v>
      </c>
      <c r="C4" s="1">
        <v>5300</v>
      </c>
      <c r="D4" s="1">
        <v>5665</v>
      </c>
      <c r="E4" s="1">
        <v>5435</v>
      </c>
      <c r="G4" s="6">
        <f>(Table1[[#This Row],[FY20]]-Table1[[#This Row],[FY19]])/Table1[[#This Row],[FY19]]</f>
        <v>6.8867924528301885E-2</v>
      </c>
      <c r="H4" s="6">
        <f>(Table1[[#This Row],[FY21]]-Table1[[#This Row],[FY20]])/Table1[[#This Row],[FY20]]</f>
        <v>-4.0600176522506623E-2</v>
      </c>
      <c r="I4" s="6">
        <f>((Table1[[#This Row],[FY21]]/Table1[[#This Row],[FY19]])^0.5)-1</f>
        <v>1.2655764864451635E-2</v>
      </c>
    </row>
    <row r="5" spans="1:10" x14ac:dyDescent="0.3">
      <c r="B5" s="12" t="s">
        <v>9</v>
      </c>
      <c r="C5" s="1">
        <v>273</v>
      </c>
      <c r="D5" s="1">
        <v>315</v>
      </c>
      <c r="E5" s="1">
        <v>289</v>
      </c>
      <c r="G5" s="6">
        <f>(Table1[[#This Row],[FY20]]-Table1[[#This Row],[FY19]])/Table1[[#This Row],[FY19]]</f>
        <v>0.15384615384615385</v>
      </c>
      <c r="H5" s="6">
        <f>(Table1[[#This Row],[FY21]]-Table1[[#This Row],[FY20]])/Table1[[#This Row],[FY20]]</f>
        <v>-8.2539682539682538E-2</v>
      </c>
      <c r="I5" s="6">
        <f>((Table1[[#This Row],[FY21]]/Table1[[#This Row],[FY19]])^0.5)-1</f>
        <v>2.8886805536964211E-2</v>
      </c>
    </row>
    <row r="6" spans="1:10" x14ac:dyDescent="0.3">
      <c r="B6" s="12" t="s">
        <v>10</v>
      </c>
      <c r="C6" s="1">
        <v>3071</v>
      </c>
      <c r="D6" s="1">
        <v>3264</v>
      </c>
      <c r="E6" s="1">
        <v>2201</v>
      </c>
      <c r="G6" s="6">
        <f>(Table1[[#This Row],[FY20]]-Table1[[#This Row],[FY19]])/Table1[[#This Row],[FY19]]</f>
        <v>6.2845978508629108E-2</v>
      </c>
      <c r="H6" s="6">
        <f>(Table1[[#This Row],[FY21]]-Table1[[#This Row],[FY20]])/Table1[[#This Row],[FY20]]</f>
        <v>-0.32567401960784315</v>
      </c>
      <c r="I6" s="6">
        <f>((Table1[[#This Row],[FY21]]/Table1[[#This Row],[FY19]])^0.5)-1</f>
        <v>-0.15341588931536598</v>
      </c>
    </row>
    <row r="7" spans="1:10" x14ac:dyDescent="0.3">
      <c r="B7" s="12" t="s">
        <v>11</v>
      </c>
      <c r="C7" s="1">
        <v>1679</v>
      </c>
      <c r="D7" s="1">
        <v>1842</v>
      </c>
      <c r="E7" s="1">
        <v>1603</v>
      </c>
      <c r="G7" s="6">
        <f>(Table1[[#This Row],[FY20]]-Table1[[#This Row],[FY19]])/Table1[[#This Row],[FY19]]</f>
        <v>9.7081596188207261E-2</v>
      </c>
      <c r="H7" s="6">
        <f>(Table1[[#This Row],[FY21]]-Table1[[#This Row],[FY20]])/Table1[[#This Row],[FY20]]</f>
        <v>-0.12975027144408252</v>
      </c>
      <c r="I7" s="6">
        <f>((Table1[[#This Row],[FY21]]/Table1[[#This Row],[FY19]])^0.5)-1</f>
        <v>-2.2894600728007419E-2</v>
      </c>
    </row>
    <row r="8" spans="1:10" x14ac:dyDescent="0.3">
      <c r="B8" s="12" t="s">
        <v>12</v>
      </c>
      <c r="C8" s="4">
        <v>0.14799999999999999</v>
      </c>
      <c r="D8" s="4">
        <v>0.128</v>
      </c>
      <c r="E8" s="4">
        <v>9.7000000000000003E-2</v>
      </c>
      <c r="F8" s="4"/>
      <c r="G8" s="7">
        <f>(Table1[[#This Row],[FY20]]-Table1[[#This Row],[FY19]])/Table1[[#This Row],[FY19]]</f>
        <v>-0.13513513513513509</v>
      </c>
      <c r="H8" s="8">
        <f>(Table1[[#This Row],[FY21]]-Table1[[#This Row],[FY20]])/Table1[[#This Row],[FY20]]</f>
        <v>-0.2421875</v>
      </c>
      <c r="I8" s="9">
        <f>((Table1[[#This Row],[FY21]]/Table1[[#This Row],[FY19]])^0.5)-1</f>
        <v>-0.19042887563512645</v>
      </c>
      <c r="J8" s="1"/>
    </row>
    <row r="9" spans="1:10" x14ac:dyDescent="0.3">
      <c r="A9" s="2" t="s">
        <v>17</v>
      </c>
      <c r="B9" s="12" t="s">
        <v>18</v>
      </c>
      <c r="C9" s="13">
        <v>0.33</v>
      </c>
      <c r="D9" s="13">
        <v>0.33</v>
      </c>
      <c r="E9" s="13">
        <v>0.38</v>
      </c>
      <c r="G9" s="6">
        <f>(Table1[[#This Row],[FY20]]-Table1[[#This Row],[FY19]])/Table1[[#This Row],[FY19]]</f>
        <v>0</v>
      </c>
      <c r="H9" s="6">
        <f>(Table1[[#This Row],[FY21]]-Table1[[#This Row],[FY20]])/Table1[[#This Row],[FY20]]</f>
        <v>0.15151515151515146</v>
      </c>
      <c r="I9" s="6">
        <f>((Table1[[#This Row],[FY21]]/Table1[[#This Row],[FY19]])^0.5)-1</f>
        <v>7.3086739977319626E-2</v>
      </c>
    </row>
    <row r="10" spans="1:10" x14ac:dyDescent="0.3">
      <c r="B10" s="12" t="s">
        <v>19</v>
      </c>
      <c r="C10" s="13" t="s">
        <v>23</v>
      </c>
      <c r="D10" s="13">
        <v>0.28999999999999998</v>
      </c>
      <c r="E10" s="13">
        <v>0.5</v>
      </c>
      <c r="G10" s="6" t="s">
        <v>23</v>
      </c>
      <c r="H10" s="6">
        <f>(Table1[[#This Row],[FY21]]-Table1[[#This Row],[FY20]])/Table1[[#This Row],[FY20]]</f>
        <v>0.72413793103448287</v>
      </c>
      <c r="I10" s="6">
        <f>((Table1[[#This Row],[FY21]]/Table1[[#This Row],[FY20]])^1)-1</f>
        <v>0.72413793103448287</v>
      </c>
    </row>
    <row r="11" spans="1:10" x14ac:dyDescent="0.3">
      <c r="B11" s="12" t="s">
        <v>22</v>
      </c>
      <c r="C11" s="1" t="s">
        <v>23</v>
      </c>
      <c r="D11" s="1" t="s">
        <v>23</v>
      </c>
      <c r="E11" s="13">
        <v>0.43</v>
      </c>
      <c r="G11" s="6" t="s">
        <v>23</v>
      </c>
      <c r="H11" s="6" t="s">
        <v>23</v>
      </c>
      <c r="I11" s="6">
        <v>0.43</v>
      </c>
    </row>
    <row r="12" spans="1:10" x14ac:dyDescent="0.3">
      <c r="B12" s="12" t="s">
        <v>20</v>
      </c>
      <c r="C12" s="6">
        <v>0.191</v>
      </c>
      <c r="D12" s="6">
        <v>0.217</v>
      </c>
      <c r="E12" s="6">
        <v>0.245</v>
      </c>
      <c r="G12" s="6">
        <f>(Table1[[#This Row],[FY20]]-Table1[[#This Row],[FY19]])/Table1[[#This Row],[FY19]]</f>
        <v>0.13612565445026176</v>
      </c>
      <c r="H12" s="6">
        <f>(Table1[[#This Row],[FY21]]-Table1[[#This Row],[FY20]])/Table1[[#This Row],[FY20]]</f>
        <v>0.12903225806451613</v>
      </c>
      <c r="I12" s="6">
        <f>((Table1[[#This Row],[FY21]]/Table1[[#This Row],[FY19]])^0.5)-1</f>
        <v>0.13257340295850373</v>
      </c>
    </row>
    <row r="13" spans="1:10" x14ac:dyDescent="0.3">
      <c r="B13" s="12" t="s">
        <v>21</v>
      </c>
      <c r="C13" s="13">
        <v>0.45</v>
      </c>
      <c r="D13" s="13">
        <v>0.45</v>
      </c>
      <c r="E13" s="6">
        <v>0.45100000000000001</v>
      </c>
      <c r="G13" s="6">
        <f>(Table1[[#This Row],[FY20]]-Table1[[#This Row],[FY19]])/Table1[[#This Row],[FY19]]</f>
        <v>0</v>
      </c>
      <c r="H13" s="6">
        <f>(Table1[[#This Row],[FY21]]-Table1[[#This Row],[FY20]])/Table1[[#This Row],[FY20]]</f>
        <v>2.222222222222224E-3</v>
      </c>
      <c r="I13" s="6">
        <f>((Table1[[#This Row],[FY21]]/Table1[[#This Row],[FY19]])^0.5)-1</f>
        <v>1.11049451208034E-3</v>
      </c>
    </row>
    <row r="14" spans="1:10" x14ac:dyDescent="0.3">
      <c r="A14" s="2" t="s">
        <v>24</v>
      </c>
      <c r="B14" s="12" t="s">
        <v>25</v>
      </c>
      <c r="C14" s="1" t="s">
        <v>23</v>
      </c>
      <c r="D14" s="1" t="s">
        <v>23</v>
      </c>
      <c r="E14" s="6" t="str">
        <f>54&amp;":"&amp;1</f>
        <v>54:1</v>
      </c>
      <c r="G14" s="6" t="s">
        <v>23</v>
      </c>
      <c r="H14" s="6" t="s">
        <v>23</v>
      </c>
      <c r="I14" s="6" t="s">
        <v>23</v>
      </c>
    </row>
    <row r="15" spans="1:10" x14ac:dyDescent="0.3">
      <c r="B15" s="12" t="s">
        <v>26</v>
      </c>
      <c r="C15" s="1" t="s">
        <v>23</v>
      </c>
      <c r="D15" s="1" t="s">
        <v>23</v>
      </c>
      <c r="E15" s="14" t="str">
        <f>35&amp;":"&amp;1</f>
        <v>35:1</v>
      </c>
      <c r="G15" s="6" t="s">
        <v>23</v>
      </c>
      <c r="H15" s="6" t="s">
        <v>23</v>
      </c>
      <c r="I15" s="6" t="s">
        <v>23</v>
      </c>
    </row>
    <row r="16" spans="1:10" x14ac:dyDescent="0.3">
      <c r="B16" s="12" t="s">
        <v>27</v>
      </c>
      <c r="C16" s="1" t="s">
        <v>23</v>
      </c>
      <c r="D16" s="1" t="s">
        <v>23</v>
      </c>
      <c r="E16" s="15" t="str">
        <f>22&amp;":"&amp;1</f>
        <v>22:1</v>
      </c>
      <c r="G16" s="6" t="s">
        <v>23</v>
      </c>
      <c r="H16" s="6" t="s">
        <v>23</v>
      </c>
      <c r="I16" s="6" t="s">
        <v>23</v>
      </c>
    </row>
    <row r="17" spans="1:9" x14ac:dyDescent="0.3">
      <c r="A17" s="2" t="s">
        <v>28</v>
      </c>
      <c r="B17" s="12" t="s">
        <v>29</v>
      </c>
      <c r="C17" s="4">
        <v>0.187</v>
      </c>
      <c r="D17" s="4">
        <v>0.17799999999999999</v>
      </c>
      <c r="E17" s="4">
        <v>0.16200000000000001</v>
      </c>
      <c r="G17" s="6">
        <f>(Table1[[#This Row],[FY20]]-Table1[[#This Row],[FY19]])/Table1[[#This Row],[FY19]]</f>
        <v>-4.8128342245989345E-2</v>
      </c>
      <c r="H17" s="6">
        <f>(Table1[[#This Row],[FY21]]-Table1[[#This Row],[FY20]])/Table1[[#This Row],[FY20]]</f>
        <v>-8.988764044943813E-2</v>
      </c>
      <c r="I17" s="6">
        <f>((Table1[[#This Row],[FY21]]/Table1[[#This Row],[FY19]])^0.5)-1</f>
        <v>-6.9242158008965493E-2</v>
      </c>
    </row>
    <row r="18" spans="1:9" x14ac:dyDescent="0.3">
      <c r="B18" s="12" t="s">
        <v>30</v>
      </c>
      <c r="C18" s="17">
        <v>0.161</v>
      </c>
      <c r="D18" s="4">
        <v>0.157</v>
      </c>
      <c r="E18" s="4">
        <v>0.13600000000000001</v>
      </c>
      <c r="G18" s="6">
        <f>(Table1[[#This Row],[FY20]]-Table1[[#This Row],[FY19]])/Table1[[#This Row],[FY19]]</f>
        <v>-2.4844720496894433E-2</v>
      </c>
      <c r="H18" s="6">
        <f>(Table1[[#This Row],[FY21]]-Table1[[#This Row],[FY20]])/Table1[[#This Row],[FY20]]</f>
        <v>-0.13375796178343943</v>
      </c>
      <c r="I18" s="6">
        <f>((Table1[[#This Row],[FY21]]/Table1[[#This Row],[FY19]])^0.5)-1</f>
        <v>-8.0913226678563266E-2</v>
      </c>
    </row>
    <row r="19" spans="1:9" x14ac:dyDescent="0.3">
      <c r="B19" s="12" t="s">
        <v>31</v>
      </c>
      <c r="C19" s="4">
        <v>3.5000000000000003E-2</v>
      </c>
      <c r="D19" s="4">
        <v>2.9000000000000001E-2</v>
      </c>
      <c r="E19" s="4">
        <v>2.4E-2</v>
      </c>
      <c r="G19" s="6">
        <f>(Table1[[#This Row],[FY20]]-Table1[[#This Row],[FY19]])/Table1[[#This Row],[FY19]]</f>
        <v>-0.17142857142857146</v>
      </c>
      <c r="H19" s="6">
        <f>(Table1[[#This Row],[FY21]]-Table1[[#This Row],[FY20]])/Table1[[#This Row],[FY20]]</f>
        <v>-0.17241379310344829</v>
      </c>
      <c r="I19" s="6">
        <f>((Table1[[#This Row],[FY21]]/Table1[[#This Row],[FY19]])^0.5)-1</f>
        <v>-0.17192132878917499</v>
      </c>
    </row>
    <row r="20" spans="1:9" x14ac:dyDescent="0.3">
      <c r="B20" s="12" t="s">
        <v>32</v>
      </c>
      <c r="C20" s="4">
        <v>0.51100000000000001</v>
      </c>
      <c r="D20" s="4">
        <v>0.51600000000000001</v>
      </c>
      <c r="E20" s="4">
        <v>0.51600000000000001</v>
      </c>
      <c r="G20" s="6">
        <f>(Table1[[#This Row],[FY20]]-Table1[[#This Row],[FY19]])/Table1[[#This Row],[FY19]]</f>
        <v>9.7847358121330805E-3</v>
      </c>
      <c r="H20" s="6">
        <f>(Table1[[#This Row],[FY21]]-Table1[[#This Row],[FY20]])/Table1[[#This Row],[FY20]]</f>
        <v>0</v>
      </c>
      <c r="I20" s="6">
        <f>((Table1[[#This Row],[FY21]]/Table1[[#This Row],[FY19]])^0.5)-1</f>
        <v>4.8804584686343855E-3</v>
      </c>
    </row>
    <row r="21" spans="1:9" x14ac:dyDescent="0.3">
      <c r="B21" s="12" t="s">
        <v>33</v>
      </c>
      <c r="C21" s="4">
        <v>0.35099999999999998</v>
      </c>
      <c r="D21" s="4">
        <v>0.38600000000000001</v>
      </c>
      <c r="E21" s="4">
        <v>0.33300000000000002</v>
      </c>
      <c r="G21" s="6">
        <f>(Table1[[#This Row],[FY20]]-Table1[[#This Row],[FY19]])/Table1[[#This Row],[FY19]]</f>
        <v>9.9715099715099814E-2</v>
      </c>
      <c r="H21" s="6">
        <f>(Table1[[#This Row],[FY21]]-Table1[[#This Row],[FY20]])/Table1[[#This Row],[FY20]]</f>
        <v>-0.13730569948186527</v>
      </c>
      <c r="I21" s="6">
        <f>((Table1[[#This Row],[FY21]]/Table1[[#This Row],[FY19]])^0.5)-1</f>
        <v>-2.5978465988585664E-2</v>
      </c>
    </row>
    <row r="22" spans="1:9" x14ac:dyDescent="0.3">
      <c r="B22" s="12" t="s">
        <v>34</v>
      </c>
      <c r="C22" s="16">
        <v>0.12</v>
      </c>
      <c r="D22" s="4">
        <v>0.122</v>
      </c>
      <c r="E22" s="16">
        <v>0.14000000000000001</v>
      </c>
      <c r="G22" s="6">
        <f>(Table1[[#This Row],[FY20]]-Table1[[#This Row],[FY19]])/Table1[[#This Row],[FY19]]</f>
        <v>1.6666666666666684E-2</v>
      </c>
      <c r="H22" s="6">
        <f>(Table1[[#This Row],[FY21]]-Table1[[#This Row],[FY20]])/Table1[[#This Row],[FY20]]</f>
        <v>0.14754098360655751</v>
      </c>
      <c r="I22" s="6">
        <f>((Table1[[#This Row],[FY21]]/Table1[[#This Row],[FY19]])^0.5)-1</f>
        <v>8.012344973464347E-2</v>
      </c>
    </row>
    <row r="23" spans="1:9" x14ac:dyDescent="0.3">
      <c r="B23" s="12" t="s">
        <v>35</v>
      </c>
      <c r="C23" s="4">
        <v>0.126</v>
      </c>
      <c r="D23" s="4">
        <v>8.3000000000000004E-2</v>
      </c>
      <c r="E23" s="4">
        <v>0.182</v>
      </c>
      <c r="G23" s="6">
        <f>(Table1[[#This Row],[FY20]]-Table1[[#This Row],[FY19]])/Table1[[#This Row],[FY19]]</f>
        <v>-0.34126984126984122</v>
      </c>
      <c r="H23" s="6">
        <f>(Table1[[#This Row],[FY21]]-Table1[[#This Row],[FY20]])/Table1[[#This Row],[FY20]]</f>
        <v>1.1927710843373491</v>
      </c>
      <c r="I23" s="6">
        <f>((Table1[[#This Row],[FY21]]/Table1[[#This Row],[FY19]])^0.5)-1</f>
        <v>0.20185042515466312</v>
      </c>
    </row>
    <row r="24" spans="1:9" x14ac:dyDescent="0.3">
      <c r="B24" s="12" t="s">
        <v>36</v>
      </c>
      <c r="C24" s="4">
        <v>0.39300000000000002</v>
      </c>
      <c r="D24" s="4">
        <v>0.34799999999999998</v>
      </c>
      <c r="E24" s="4">
        <v>0.32700000000000001</v>
      </c>
      <c r="G24" s="6">
        <f>(Table1[[#This Row],[FY20]]-Table1[[#This Row],[FY19]])/Table1[[#This Row],[FY19]]</f>
        <v>-0.11450381679389322</v>
      </c>
      <c r="H24" s="6">
        <f>(Table1[[#This Row],[FY21]]-Table1[[#This Row],[FY20]])/Table1[[#This Row],[FY20]]</f>
        <v>-6.0344827586206795E-2</v>
      </c>
      <c r="I24" s="6">
        <f>((Table1[[#This Row],[FY21]]/Table1[[#This Row],[FY19]])^0.5)-1</f>
        <v>-8.7826185038021309E-2</v>
      </c>
    </row>
    <row r="25" spans="1:9" x14ac:dyDescent="0.3">
      <c r="B25" s="12" t="s">
        <v>37</v>
      </c>
      <c r="C25" s="4">
        <v>0.14399999999999999</v>
      </c>
      <c r="D25" s="4">
        <v>0.13200000000000001</v>
      </c>
      <c r="E25" s="4">
        <v>0.14799999999999999</v>
      </c>
      <c r="G25" s="6">
        <f>(Table1[[#This Row],[FY20]]-Table1[[#This Row],[FY19]])/Table1[[#This Row],[FY19]]</f>
        <v>-8.3333333333333218E-2</v>
      </c>
      <c r="H25" s="6">
        <f>(Table1[[#This Row],[FY21]]-Table1[[#This Row],[FY20]])/Table1[[#This Row],[FY20]]</f>
        <v>0.1212121212121211</v>
      </c>
      <c r="I25" s="6">
        <f>((Table1[[#This Row],[FY21]]/Table1[[#This Row],[FY19]])^0.5)-1</f>
        <v>1.3793755049703371E-2</v>
      </c>
    </row>
    <row r="26" spans="1:9" x14ac:dyDescent="0.3">
      <c r="A26" s="2" t="s">
        <v>38</v>
      </c>
      <c r="B26" s="12" t="s">
        <v>39</v>
      </c>
      <c r="C26" s="17">
        <v>0.217</v>
      </c>
      <c r="D26" s="17">
        <v>0.184</v>
      </c>
      <c r="E26" s="17">
        <v>0.17899999999999999</v>
      </c>
      <c r="G26" s="6">
        <f>(Table1[[#This Row],[FY20]]-Table1[[#This Row],[FY19]])/Table1[[#This Row],[FY19]]</f>
        <v>-0.15207373271889402</v>
      </c>
      <c r="H26" s="6">
        <f>(Table1[[#This Row],[FY21]]-Table1[[#This Row],[FY20]])/Table1[[#This Row],[FY20]]</f>
        <v>-2.7173913043478284E-2</v>
      </c>
      <c r="I26" s="6">
        <f>((Table1[[#This Row],[FY21]]/Table1[[#This Row],[FY19]])^0.5)-1</f>
        <v>-9.1768315556692293E-2</v>
      </c>
    </row>
    <row r="27" spans="1:9" x14ac:dyDescent="0.3">
      <c r="B27" s="12" t="s">
        <v>40</v>
      </c>
      <c r="C27" s="17">
        <v>5.3999999999999999E-2</v>
      </c>
      <c r="D27" s="13">
        <v>0.05</v>
      </c>
      <c r="E27" s="17">
        <v>5.7000000000000002E-2</v>
      </c>
      <c r="G27" s="6">
        <f>(Table1[[#This Row],[FY20]]-Table1[[#This Row],[FY19]])/Table1[[#This Row],[FY19]]</f>
        <v>-7.4074074074074014E-2</v>
      </c>
      <c r="H27" s="6">
        <f>(Table1[[#This Row],[FY21]]-Table1[[#This Row],[FY20]])/Table1[[#This Row],[FY20]]</f>
        <v>0.13999999999999999</v>
      </c>
      <c r="I27" s="6">
        <f>((Table1[[#This Row],[FY21]]/Table1[[#This Row],[FY19]])^0.5)-1</f>
        <v>2.7402333828162817E-2</v>
      </c>
    </row>
    <row r="28" spans="1:9" x14ac:dyDescent="0.3">
      <c r="B28" s="12" t="s">
        <v>41</v>
      </c>
      <c r="C28" s="1" t="s">
        <v>23</v>
      </c>
      <c r="D28" s="17">
        <v>3.3000000000000002E-2</v>
      </c>
      <c r="E28" s="17">
        <v>3.4000000000000002E-2</v>
      </c>
      <c r="G28" s="6" t="s">
        <v>23</v>
      </c>
      <c r="H28" s="6">
        <f>(Table1[[#This Row],[FY21]]-Table1[[#This Row],[FY20]])/Table1[[#This Row],[FY20]]</f>
        <v>3.0303030303030328E-2</v>
      </c>
      <c r="I28" s="6">
        <f>((Table1[[#This Row],[FY21]]/Table1[[#This Row],[FY20]])^1)-1</f>
        <v>3.0303030303030276E-2</v>
      </c>
    </row>
    <row r="29" spans="1:9" x14ac:dyDescent="0.3">
      <c r="B29" s="12" t="s">
        <v>42</v>
      </c>
      <c r="C29" s="1" t="s">
        <v>23</v>
      </c>
      <c r="D29" s="17">
        <v>5.0000000000000001E-3</v>
      </c>
      <c r="E29" s="17">
        <v>6.0000000000000001E-3</v>
      </c>
      <c r="G29" s="6" t="s">
        <v>23</v>
      </c>
      <c r="H29" s="6">
        <f>(Table1[[#This Row],[FY21]]-Table1[[#This Row],[FY20]])/Table1[[#This Row],[FY20]]</f>
        <v>0.2</v>
      </c>
      <c r="I29" s="6">
        <f>((Table1[[#This Row],[FY21]]/Table1[[#This Row],[FY20]])^1)-1</f>
        <v>0.19999999999999996</v>
      </c>
    </row>
    <row r="30" spans="1:9" x14ac:dyDescent="0.3">
      <c r="A30" s="2" t="s">
        <v>43</v>
      </c>
      <c r="B30" s="12" t="s">
        <v>44</v>
      </c>
      <c r="C30" s="17">
        <v>0.14499999999999999</v>
      </c>
      <c r="D30" s="17">
        <v>0.14599999999999999</v>
      </c>
      <c r="E30" s="17">
        <v>0.13800000000000001</v>
      </c>
      <c r="G30" s="6">
        <f>(Table1[[#This Row],[FY20]]-Table1[[#This Row],[FY19]])/Table1[[#This Row],[FY19]]</f>
        <v>6.8965517241379379E-3</v>
      </c>
      <c r="H30" s="6">
        <f>(Table1[[#This Row],[FY21]]-Table1[[#This Row],[FY20]])/Table1[[#This Row],[FY20]]</f>
        <v>-5.4794520547945071E-2</v>
      </c>
      <c r="I30" s="6">
        <f>((Table1[[#This Row],[FY21]]/Table1[[#This Row],[FY19]])^0.5)-1</f>
        <v>-2.4436502358234691E-2</v>
      </c>
    </row>
    <row r="31" spans="1:9" x14ac:dyDescent="0.3">
      <c r="B31" s="12" t="s">
        <v>45</v>
      </c>
      <c r="C31" s="17">
        <v>6.7000000000000004E-2</v>
      </c>
      <c r="D31" s="17">
        <v>7.2999999999999995E-2</v>
      </c>
      <c r="E31" s="17">
        <v>7.5999999999999998E-2</v>
      </c>
      <c r="G31" s="6">
        <f>(Table1[[#This Row],[FY20]]-Table1[[#This Row],[FY19]])/Table1[[#This Row],[FY19]]</f>
        <v>8.9552238805970019E-2</v>
      </c>
      <c r="H31" s="6">
        <f>(Table1[[#This Row],[FY21]]-Table1[[#This Row],[FY20]])/Table1[[#This Row],[FY20]]</f>
        <v>4.1095890410958943E-2</v>
      </c>
      <c r="I31" s="6">
        <f>((Table1[[#This Row],[FY21]]/Table1[[#This Row],[FY19]])^0.5)-1</f>
        <v>6.5048523875299802E-2</v>
      </c>
    </row>
    <row r="32" spans="1:9" x14ac:dyDescent="0.3">
      <c r="B32" s="12" t="s">
        <v>46</v>
      </c>
      <c r="C32" s="17">
        <v>0.42899999999999999</v>
      </c>
      <c r="D32" s="17">
        <v>0.44400000000000001</v>
      </c>
      <c r="E32" s="17">
        <v>0.42799999999999999</v>
      </c>
      <c r="G32" s="6">
        <f>(Table1[[#This Row],[FY20]]-Table1[[#This Row],[FY19]])/Table1[[#This Row],[FY19]]</f>
        <v>3.4965034965034995E-2</v>
      </c>
      <c r="H32" s="6">
        <f>(Table1[[#This Row],[FY21]]-Table1[[#This Row],[FY20]])/Table1[[#This Row],[FY20]]</f>
        <v>-3.603603603603607E-2</v>
      </c>
      <c r="I32" s="6">
        <f>((Table1[[#This Row],[FY21]]/Table1[[#This Row],[FY19]])^0.5)-1</f>
        <v>-1.1661811547439838E-3</v>
      </c>
    </row>
    <row r="33" spans="2:9" x14ac:dyDescent="0.3">
      <c r="B33" s="12" t="s">
        <v>47</v>
      </c>
      <c r="C33" s="17">
        <v>0.27700000000000002</v>
      </c>
      <c r="D33" s="17">
        <v>0.33900000000000002</v>
      </c>
      <c r="E33" s="13">
        <v>0.25</v>
      </c>
      <c r="G33" s="6">
        <f>(Table1[[#This Row],[FY20]]-Table1[[#This Row],[FY19]])/Table1[[#This Row],[FY19]]</f>
        <v>0.22382671480144403</v>
      </c>
      <c r="H33" s="6">
        <f>(Table1[[#This Row],[FY21]]-Table1[[#This Row],[FY20]])/Table1[[#This Row],[FY20]]</f>
        <v>-0.26253687315634222</v>
      </c>
      <c r="I33" s="6">
        <f>((Table1[[#This Row],[FY21]]/Table1[[#This Row],[FY19]])^0.5)-1</f>
        <v>-4.9985749679366975E-2</v>
      </c>
    </row>
    <row r="34" spans="2:9" x14ac:dyDescent="0.3">
      <c r="B34" s="12" t="s">
        <v>48</v>
      </c>
      <c r="C34" s="17">
        <v>0.14199999999999999</v>
      </c>
      <c r="D34" s="17">
        <v>0.10199999999999999</v>
      </c>
      <c r="E34" s="17">
        <v>0.11899999999999999</v>
      </c>
      <c r="G34" s="6">
        <f>(Table1[[#This Row],[FY20]]-Table1[[#This Row],[FY19]])/Table1[[#This Row],[FY19]]</f>
        <v>-0.28169014084507038</v>
      </c>
      <c r="H34" s="6">
        <f>(Table1[[#This Row],[FY21]]-Table1[[#This Row],[FY20]])/Table1[[#This Row],[FY20]]</f>
        <v>0.16666666666666669</v>
      </c>
      <c r="I34" s="6">
        <f>((Table1[[#This Row],[FY21]]/Table1[[#This Row],[FY19]])^0.5)-1</f>
        <v>-8.4561215037245341E-2</v>
      </c>
    </row>
    <row r="35" spans="2:9" x14ac:dyDescent="0.3">
      <c r="B35" s="12" t="s">
        <v>50</v>
      </c>
      <c r="C35" s="17">
        <v>0.125</v>
      </c>
      <c r="D35" s="17">
        <v>8.3000000000000004E-2</v>
      </c>
      <c r="E35" s="17">
        <v>8.3000000000000004E-2</v>
      </c>
      <c r="G35" s="6">
        <f>(Table1[[#This Row],[FY20]]-Table1[[#This Row],[FY19]])/Table1[[#This Row],[FY19]]</f>
        <v>-0.33599999999999997</v>
      </c>
      <c r="H35" s="6">
        <f>(Table1[[#This Row],[FY21]]-Table1[[#This Row],[FY20]])/Table1[[#This Row],[FY20]]</f>
        <v>0</v>
      </c>
      <c r="I35" s="6">
        <f>((Table1[[#This Row],[FY21]]/Table1[[#This Row],[FY19]])^0.5)-1</f>
        <v>-0.18513804850146542</v>
      </c>
    </row>
    <row r="36" spans="2:9" x14ac:dyDescent="0.3">
      <c r="B36" s="12" t="s">
        <v>49</v>
      </c>
      <c r="C36" s="17">
        <v>0.435</v>
      </c>
      <c r="D36" s="17">
        <v>0.40100000000000002</v>
      </c>
      <c r="E36" s="17">
        <v>0.379</v>
      </c>
      <c r="G36" s="6">
        <f>(Table1[[#This Row],[FY20]]-Table1[[#This Row],[FY19]])/Table1[[#This Row],[FY19]]</f>
        <v>-7.8160919540229828E-2</v>
      </c>
      <c r="H36" s="6">
        <f>(Table1[[#This Row],[FY21]]-Table1[[#This Row],[FY20]])/Table1[[#This Row],[FY20]]</f>
        <v>-5.4862842892768125E-2</v>
      </c>
      <c r="I36" s="6">
        <f>((Table1[[#This Row],[FY21]]/Table1[[#This Row],[FY19]])^0.5)-1</f>
        <v>-6.6584568471202088E-2</v>
      </c>
    </row>
    <row r="37" spans="2:9" x14ac:dyDescent="0.3">
      <c r="B37" s="12" t="s">
        <v>51</v>
      </c>
      <c r="C37" s="17">
        <v>0.128</v>
      </c>
      <c r="D37" s="17">
        <v>0.115</v>
      </c>
      <c r="E37" s="17">
        <v>9.2999999999999999E-2</v>
      </c>
      <c r="G37" s="6">
        <f>(Table1[[#This Row],[FY20]]-Table1[[#This Row],[FY19]])/Table1[[#This Row],[FY19]]</f>
        <v>-0.10156249999999999</v>
      </c>
      <c r="H37" s="6">
        <f>(Table1[[#This Row],[FY21]]-Table1[[#This Row],[FY20]])/Table1[[#This Row],[FY20]]</f>
        <v>-0.19130434782608699</v>
      </c>
      <c r="I37" s="6">
        <f>((Table1[[#This Row],[FY21]]/Table1[[#This Row],[FY19]])^0.5)-1</f>
        <v>-0.14761364393838405</v>
      </c>
    </row>
  </sheetData>
  <phoneticPr fontId="3" type="noConversion"/>
  <conditionalFormatting sqref="G2:G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:G1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25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6:G2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0:G3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:H7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:H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7:H25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6:H2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0:H3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:I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:I1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7:I25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26:I2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0:I3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F17D73E6-1812-4B5C-A3F3-12432722D3E8}">
          <x14:colorSeries theme="2" tint="-0.249977111117893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9"/>
          <x14:colorLow rgb="FFFF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  <x14:sparkline>
              <xm:f>Sheet1!C37:E37</xm:f>
              <xm:sqref>F37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2026-04-21T15:00:45Z</dcterms:modified>
</cp:coreProperties>
</file>