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rkaj\OneDrive\Desktop\Deloitte UK Reports Review (FY19-24)\Data Reports\Reports (FY19-21)\"/>
    </mc:Choice>
  </mc:AlternateContent>
  <xr:revisionPtr revIDLastSave="0" documentId="13_ncr:1_{CF07AE71-077F-4C37-9CEF-9EB7FF216B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1" l="1"/>
  <c r="G7" i="1"/>
  <c r="G8" i="1"/>
  <c r="G5" i="1"/>
  <c r="G4" i="1"/>
  <c r="H8" i="1"/>
  <c r="I8" i="1"/>
  <c r="H7" i="1"/>
  <c r="I7" i="1"/>
  <c r="H6" i="1"/>
  <c r="I6" i="1"/>
  <c r="H5" i="1"/>
  <c r="I5" i="1"/>
  <c r="G3" i="1"/>
  <c r="I3" i="1"/>
  <c r="I4" i="1"/>
  <c r="I2" i="1"/>
  <c r="H4" i="1"/>
  <c r="H2" i="1"/>
  <c r="H3" i="1"/>
  <c r="G2" i="1"/>
</calcChain>
</file>

<file path=xl/sharedStrings.xml><?xml version="1.0" encoding="utf-8"?>
<sst xmlns="http://schemas.openxmlformats.org/spreadsheetml/2006/main" count="18" uniqueCount="18">
  <si>
    <t>5 Million Futures Strategy</t>
  </si>
  <si>
    <t>CATEGORY</t>
  </si>
  <si>
    <t>METRICS</t>
  </si>
  <si>
    <t>FY19</t>
  </si>
  <si>
    <t>FY20</t>
  </si>
  <si>
    <t>FY21</t>
  </si>
  <si>
    <t>Total 'Futures' impacted as part of 5 Million Futures Strategy</t>
  </si>
  <si>
    <t>Total number of society partnerships</t>
  </si>
  <si>
    <t>Material' impact as proportion of total Futures impacted</t>
  </si>
  <si>
    <t>YoY (19-20)</t>
  </si>
  <si>
    <t>YoY (20-21)</t>
  </si>
  <si>
    <t>CAGR</t>
  </si>
  <si>
    <t>YEARLY TRENDS</t>
  </si>
  <si>
    <t>Community contribution</t>
  </si>
  <si>
    <t>Total firm contribution</t>
  </si>
  <si>
    <t>Number of community volunteers</t>
  </si>
  <si>
    <t>Community volunteering hours</t>
  </si>
  <si>
    <t>Number of pro bono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</si>
</sst>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_-[$£-809]* #,##0.00_-;\-[$£-809]* #,##0.00_-;_-[$£-809]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quotePrefix="1"/>
    <xf numFmtId="3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0" xfId="1" applyFont="1"/>
    <xf numFmtId="168" fontId="0" fillId="0" borderId="0" xfId="1" applyNumberFormat="1" applyFont="1"/>
    <xf numFmtId="168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3EDB57-7632-493E-BC4E-B865C224799A}" name="Table1" displayName="Table1" ref="A1:I8" totalsRowShown="0" headerRowDxfId="2">
  <autoFilter ref="A1:I8" xr:uid="{3A3EDB57-7632-493E-BC4E-B865C224799A}"/>
  <tableColumns count="9">
    <tableColumn id="1" xr3:uid="{D0AC01FA-9524-417F-8286-5AA7E752B1EC}" name="METRICS"/>
    <tableColumn id="2" xr3:uid="{5E4DFCD7-99FC-4F29-A949-A4471F673851}" name="CATEGORY"/>
    <tableColumn id="3" xr3:uid="{549CBB66-4F18-433D-A427-DF8ED1CD3D8D}" name="FY19"/>
    <tableColumn id="4" xr3:uid="{52022AD2-3F9E-4794-A64C-2B68DBF0268E}" name="FY20"/>
    <tableColumn id="5" xr3:uid="{18085260-2D99-4A74-832C-B42ED4E51664}" name="FY21"/>
    <tableColumn id="6" xr3:uid="{57378D50-B2B7-4507-9F33-C76648FEDD5D}" name="YEARLY TRENDS" dataDxfId="3"/>
    <tableColumn id="7" xr3:uid="{70998AFF-6202-4712-843D-680F2890AC67}" name="YoY (19-20)" dataCellStyle="Percent">
      <calculatedColumnFormula>(Table1[[#This Row],[FY20]]-Table1[[#This Row],[FY19]])/Table1[[#This Row],[FY19]]</calculatedColumnFormula>
    </tableColumn>
    <tableColumn id="8" xr3:uid="{48805E2B-B0A5-45E5-8651-4007AC2E9B6E}" name="YoY (20-21)" dataDxfId="1" dataCellStyle="Percent">
      <calculatedColumnFormula>(Table1[[#This Row],[FY21]]-Table1[[#This Row],[FY20]])/Table1[[#This Row],[FY20]]</calculatedColumnFormula>
    </tableColumn>
    <tableColumn id="9" xr3:uid="{A799B631-AEBC-451D-B665-3905D26DCC61}" name="CAGR" dataDxfId="0" dataCellStyle="Percent">
      <calculatedColumnFormula>((Table1[[#This Row],[FY21]]/Table1[[#This Row],[FY19]])^0.5)-1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B11" sqref="B11"/>
    </sheetView>
  </sheetViews>
  <sheetFormatPr defaultRowHeight="14.4" x14ac:dyDescent="0.3"/>
  <cols>
    <col min="1" max="1" width="25.109375" customWidth="1"/>
    <col min="2" max="2" width="49.6640625" customWidth="1"/>
    <col min="3" max="3" width="14.33203125" style="3" customWidth="1"/>
    <col min="4" max="4" width="15" style="3" customWidth="1"/>
    <col min="5" max="5" width="14.88671875" style="3" customWidth="1"/>
    <col min="6" max="6" width="17.5546875" style="3" customWidth="1"/>
    <col min="7" max="7" width="13.88671875" customWidth="1"/>
    <col min="8" max="8" width="14.109375" customWidth="1"/>
    <col min="9" max="9" width="11.88671875" customWidth="1"/>
  </cols>
  <sheetData>
    <row r="1" spans="1:9" ht="15.6" x14ac:dyDescent="0.3">
      <c r="A1" s="2" t="s">
        <v>2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12</v>
      </c>
      <c r="G1" s="2" t="s">
        <v>9</v>
      </c>
      <c r="H1" s="2" t="s">
        <v>10</v>
      </c>
      <c r="I1" s="2" t="s">
        <v>11</v>
      </c>
    </row>
    <row r="2" spans="1:9" x14ac:dyDescent="0.3">
      <c r="A2" s="1" t="s">
        <v>0</v>
      </c>
      <c r="B2" t="s">
        <v>6</v>
      </c>
      <c r="C2" s="5">
        <v>417023</v>
      </c>
      <c r="D2" s="5">
        <v>199653</v>
      </c>
      <c r="E2" s="5">
        <v>356337</v>
      </c>
      <c r="F2" s="5"/>
      <c r="G2" s="7">
        <f>(Table1[[#This Row],[FY20]]-Table1[[#This Row],[FY19]])/Table1[[#This Row],[FY19]]</f>
        <v>-0.52124223364178957</v>
      </c>
      <c r="H2" s="7">
        <f>(Table1[[#This Row],[FY21]]-Table1[[#This Row],[FY20]])/Table1[[#This Row],[FY20]]</f>
        <v>0.78478159606918008</v>
      </c>
      <c r="I2" s="7">
        <f>((Table1[[#This Row],[FY21]]/Table1[[#This Row],[FY19]])^0.5)-1</f>
        <v>-7.5620180677162141E-2</v>
      </c>
    </row>
    <row r="3" spans="1:9" x14ac:dyDescent="0.3">
      <c r="B3" s="4" t="s">
        <v>8</v>
      </c>
      <c r="C3" s="6">
        <v>0.11</v>
      </c>
      <c r="D3" s="6">
        <v>0.35</v>
      </c>
      <c r="E3" s="6">
        <v>0.28999999999999998</v>
      </c>
      <c r="F3" s="5"/>
      <c r="G3" s="7">
        <f>(Table1[[#This Row],[FY20]]-Table1[[#This Row],[FY19]])/Table1[[#This Row],[FY19]]</f>
        <v>2.1818181818181817</v>
      </c>
      <c r="H3" s="7">
        <f>(Table1[[#This Row],[FY21]]-Table1[[#This Row],[FY20]])/Table1[[#This Row],[FY20]]</f>
        <v>-0.17142857142857143</v>
      </c>
      <c r="I3" s="7">
        <f>((Table1[[#This Row],[FY21]]/Table1[[#This Row],[FY19]])^0.5)-1</f>
        <v>0.62368828177197733</v>
      </c>
    </row>
    <row r="4" spans="1:9" x14ac:dyDescent="0.3">
      <c r="B4" t="s">
        <v>7</v>
      </c>
      <c r="C4" s="3">
        <v>63</v>
      </c>
      <c r="D4" s="3">
        <v>70</v>
      </c>
      <c r="E4" s="3">
        <v>70</v>
      </c>
      <c r="F4" s="5"/>
      <c r="G4" s="7">
        <f>(Table1[[#This Row],[FY20]]-Table1[[#This Row],[FY19]])/Table1[[#This Row],[FY19]]</f>
        <v>0.1111111111111111</v>
      </c>
      <c r="H4" s="7">
        <f>(Table1[[#This Row],[FY21]]-Table1[[#This Row],[FY20]])/Table1[[#This Row],[FY20]]</f>
        <v>0</v>
      </c>
      <c r="I4" s="7">
        <f>((Table1[[#This Row],[FY21]]/Table1[[#This Row],[FY19]])^0.5)-1</f>
        <v>5.4092553389459841E-2</v>
      </c>
    </row>
    <row r="5" spans="1:9" x14ac:dyDescent="0.3">
      <c r="A5" s="1" t="s">
        <v>13</v>
      </c>
      <c r="B5" t="s">
        <v>14</v>
      </c>
      <c r="C5" s="8">
        <v>5900000</v>
      </c>
      <c r="D5" s="9">
        <v>6200000</v>
      </c>
      <c r="E5" s="9">
        <v>6900000</v>
      </c>
      <c r="F5" s="5"/>
      <c r="G5" s="7">
        <f>(Table1[[#This Row],[FY20]]-Table1[[#This Row],[FY19]])/Table1[[#This Row],[FY19]]</f>
        <v>5.0847457627118647E-2</v>
      </c>
      <c r="H5" s="7">
        <f>(Table1[[#This Row],[FY21]]-Table1[[#This Row],[FY20]])/Table1[[#This Row],[FY20]]</f>
        <v>0.11290322580645161</v>
      </c>
      <c r="I5" s="7">
        <f>((Table1[[#This Row],[FY21]]/Table1[[#This Row],[FY19]])^0.5)-1</f>
        <v>8.1430314640628554E-2</v>
      </c>
    </row>
    <row r="6" spans="1:9" x14ac:dyDescent="0.3">
      <c r="B6" t="s">
        <v>15</v>
      </c>
      <c r="C6" s="3">
        <v>5267</v>
      </c>
      <c r="D6" s="3">
        <v>2595</v>
      </c>
      <c r="E6" s="3">
        <v>2920</v>
      </c>
      <c r="F6" s="5"/>
      <c r="G6" s="7">
        <f>(Table1[[#This Row],[FY20]]-Table1[[#This Row],[FY19]])/Table1[[#This Row],[FY19]]</f>
        <v>-0.50730966394531996</v>
      </c>
      <c r="H6" s="7">
        <f>(Table1[[#This Row],[FY21]]-Table1[[#This Row],[FY20]])/Table1[[#This Row],[FY20]]</f>
        <v>0.12524084778420039</v>
      </c>
      <c r="I6" s="7">
        <f>((Table1[[#This Row],[FY21]]/Table1[[#This Row],[FY19]])^0.5)-1</f>
        <v>-0.25542274313725455</v>
      </c>
    </row>
    <row r="7" spans="1:9" x14ac:dyDescent="0.3">
      <c r="B7" t="s">
        <v>16</v>
      </c>
      <c r="C7" s="3">
        <v>28735</v>
      </c>
      <c r="D7" s="3">
        <v>26175</v>
      </c>
      <c r="E7" s="3">
        <v>23243</v>
      </c>
      <c r="F7" s="5"/>
      <c r="G7" s="7">
        <f>(Table1[[#This Row],[FY20]]-Table1[[#This Row],[FY19]])/Table1[[#This Row],[FY19]]</f>
        <v>-8.9089959979119546E-2</v>
      </c>
      <c r="H7" s="7">
        <f>(Table1[[#This Row],[FY21]]-Table1[[#This Row],[FY20]])/Table1[[#This Row],[FY20]]</f>
        <v>-0.11201528175740211</v>
      </c>
      <c r="I7" s="7">
        <f>((Table1[[#This Row],[FY21]]/Table1[[#This Row],[FY19]])^0.5)-1</f>
        <v>-0.10062566456880973</v>
      </c>
    </row>
    <row r="8" spans="1:9" x14ac:dyDescent="0.3">
      <c r="B8" t="s">
        <v>17</v>
      </c>
      <c r="C8" s="3">
        <v>11733</v>
      </c>
      <c r="D8" s="3">
        <v>9437</v>
      </c>
      <c r="E8" s="3">
        <v>11946</v>
      </c>
      <c r="F8" s="5"/>
      <c r="G8" s="7">
        <f>(Table1[[#This Row],[FY20]]-Table1[[#This Row],[FY19]])/Table1[[#This Row],[FY19]]</f>
        <v>-0.19568737748231485</v>
      </c>
      <c r="H8" s="7">
        <f>(Table1[[#This Row],[FY21]]-Table1[[#This Row],[FY20]])/Table1[[#This Row],[FY20]]</f>
        <v>0.26586839037829818</v>
      </c>
      <c r="I8" s="7">
        <f>((Table1[[#This Row],[FY21]]/Table1[[#This Row],[FY19]])^0.5)-1</f>
        <v>9.0361365319924225E-3</v>
      </c>
    </row>
  </sheetData>
  <phoneticPr fontId="3" type="noConversion"/>
  <conditionalFormatting sqref="G2:G8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:H4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:I4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5:G8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5:H8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5:H8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5:I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5:I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 xr2:uid="{0B1ACC22-802A-4758-84F9-5B318A77F9FF}">
          <x14:colorSeries theme="2" tint="-0.249977111117893"/>
          <x14:colorNegative rgb="FFD00000"/>
          <x14:colorAxis rgb="FF000000"/>
          <x14:colorMarkers rgb="FFD00000"/>
          <x14:colorFirst rgb="FFD00000"/>
          <x14:colorLast rgb="FFD00000"/>
          <x14:colorHigh theme="9"/>
          <x14:colorLow rgb="FFD00000"/>
          <x14:sparklines>
            <x14:sparkline>
              <xm:f>Sheet1!C2:E2</xm:f>
              <xm:sqref>F2</xm:sqref>
            </x14:sparkline>
            <x14:sparkline>
              <xm:f>Sheet1!C3:E3</xm:f>
              <xm:sqref>F3</xm:sqref>
            </x14:sparkline>
            <x14:sparkline>
              <xm:f>Sheet1!C4:E4</xm:f>
              <xm:sqref>F4</xm:sqref>
            </x14:sparkline>
            <x14:sparkline>
              <xm:f>Sheet1!C5:E5</xm:f>
              <xm:sqref>F5</xm:sqref>
            </x14:sparkline>
            <x14:sparkline>
              <xm:f>Sheet1!C6:E6</xm:f>
              <xm:sqref>F6</xm:sqref>
            </x14:sparkline>
            <x14:sparkline>
              <xm:f>Sheet1!C7:E7</xm:f>
              <xm:sqref>F7</xm:sqref>
            </x14:sparkline>
            <x14:sparkline>
              <xm:f>Sheet1!C8:E8</xm:f>
              <xm:sqref>F8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Arkajyoti Basu Ray</dc:creator>
  <cp:lastModifiedBy>Arkajyoti Basu Ray</cp:lastModifiedBy>
  <dcterms:created xsi:type="dcterms:W3CDTF">2015-06-05T18:17:20Z</dcterms:created>
  <dcterms:modified xsi:type="dcterms:W3CDTF">2026-04-21T15:00:26Z</dcterms:modified>
</cp:coreProperties>
</file>