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19-21)\"/>
    </mc:Choice>
  </mc:AlternateContent>
  <xr:revisionPtr revIDLastSave="0" documentId="13_ncr:1_{5C50490D-6220-4844-8783-D4B8A27B2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H36" i="1"/>
  <c r="I36" i="1"/>
  <c r="H35" i="1"/>
  <c r="I35" i="1"/>
  <c r="G34" i="1"/>
  <c r="H34" i="1"/>
  <c r="I34" i="1"/>
  <c r="I33" i="1"/>
  <c r="G31" i="1"/>
  <c r="G32" i="1"/>
  <c r="H32" i="1"/>
  <c r="I32" i="1"/>
  <c r="H31" i="1"/>
  <c r="I31" i="1"/>
  <c r="G30" i="1"/>
  <c r="H30" i="1"/>
  <c r="I30" i="1"/>
  <c r="G29" i="1"/>
  <c r="H29" i="1"/>
  <c r="I29" i="1"/>
  <c r="I19" i="1"/>
  <c r="H19" i="1"/>
  <c r="G19" i="1"/>
  <c r="H17" i="1"/>
  <c r="G17" i="1"/>
  <c r="G22" i="1"/>
  <c r="G23" i="1"/>
  <c r="G24" i="1"/>
  <c r="G25" i="1"/>
  <c r="G26" i="1"/>
  <c r="G27" i="1"/>
  <c r="G28" i="1"/>
  <c r="H28" i="1"/>
  <c r="I28" i="1"/>
  <c r="H27" i="1"/>
  <c r="I27" i="1"/>
  <c r="H26" i="1"/>
  <c r="I26" i="1"/>
  <c r="H25" i="1"/>
  <c r="I25" i="1"/>
  <c r="H24" i="1"/>
  <c r="I24" i="1"/>
  <c r="H23" i="1"/>
  <c r="I23" i="1"/>
  <c r="H22" i="1"/>
  <c r="I22" i="1"/>
  <c r="G21" i="1"/>
  <c r="H21" i="1"/>
  <c r="I21" i="1"/>
  <c r="G20" i="1"/>
  <c r="H20" i="1"/>
  <c r="I20" i="1"/>
  <c r="G18" i="1"/>
  <c r="H18" i="1"/>
  <c r="I18" i="1"/>
  <c r="I17" i="1"/>
  <c r="G16" i="1"/>
  <c r="H16" i="1"/>
  <c r="I16" i="1"/>
  <c r="G14" i="1"/>
  <c r="G15" i="1"/>
  <c r="H15" i="1"/>
  <c r="I15" i="1"/>
  <c r="H14" i="1"/>
  <c r="I14" i="1"/>
  <c r="G13" i="1"/>
  <c r="H13" i="1"/>
  <c r="I13" i="1"/>
  <c r="G2" i="1"/>
  <c r="G3" i="1"/>
  <c r="G4" i="1"/>
  <c r="G5" i="1"/>
  <c r="G6" i="1"/>
  <c r="G7" i="1"/>
  <c r="G8" i="1"/>
  <c r="G9" i="1"/>
  <c r="G10" i="1"/>
  <c r="G11" i="1"/>
  <c r="H12" i="1"/>
  <c r="H9" i="1"/>
  <c r="H10" i="1"/>
  <c r="H11" i="1"/>
  <c r="I11" i="1"/>
  <c r="I10" i="1"/>
  <c r="I9" i="1"/>
  <c r="H8" i="1"/>
  <c r="I8" i="1"/>
  <c r="H7" i="1"/>
  <c r="I7" i="1"/>
  <c r="H6" i="1"/>
  <c r="I6" i="1"/>
  <c r="H5" i="1"/>
  <c r="I5" i="1"/>
  <c r="I4" i="1"/>
  <c r="I2" i="1"/>
  <c r="I3" i="1"/>
  <c r="H2" i="1"/>
  <c r="H3" i="1"/>
</calcChain>
</file>

<file path=xl/sharedStrings.xml><?xml version="1.0" encoding="utf-8"?>
<sst xmlns="http://schemas.openxmlformats.org/spreadsheetml/2006/main" count="58" uniqueCount="55">
  <si>
    <t>METRIC</t>
  </si>
  <si>
    <t>CATEGORY</t>
  </si>
  <si>
    <t>FY20</t>
  </si>
  <si>
    <t>FY21</t>
  </si>
  <si>
    <t>FY19</t>
  </si>
  <si>
    <t>Scope 1</t>
  </si>
  <si>
    <t>Fuel Combustion</t>
  </si>
  <si>
    <t>Vehicle Fleet (Internal Combustion Engine)</t>
  </si>
  <si>
    <t>YoY (19-20)</t>
  </si>
  <si>
    <t>YoY (20-21)</t>
  </si>
  <si>
    <t>CAGR</t>
  </si>
  <si>
    <t>YEARLY TRENDS</t>
  </si>
  <si>
    <t>Scope 2</t>
  </si>
  <si>
    <t>Electricity (Market-based)</t>
  </si>
  <si>
    <t>District heating &amp; cooling</t>
  </si>
  <si>
    <t>Vehicle fleet (Electric)</t>
  </si>
  <si>
    <t>Total Gross Operational Emissions</t>
  </si>
  <si>
    <t>Scope 3</t>
  </si>
  <si>
    <t>Business Travel (excl. radiative forcing)</t>
  </si>
  <si>
    <t>purchsaed goods and services</t>
  </si>
  <si>
    <t>Total Gross Operational &amp; Travel Emissions</t>
  </si>
  <si>
    <t>Total Gross Operational &amp; Value chain Emissions</t>
  </si>
  <si>
    <t>Certified Emission Reductions</t>
  </si>
  <si>
    <t>Certified Emission Reductions (CERS)</t>
  </si>
  <si>
    <t>Operational Emissions</t>
  </si>
  <si>
    <t>Operational &amp; Travel Emissions</t>
  </si>
  <si>
    <t>Operational &amp; Value Chain Emissions</t>
  </si>
  <si>
    <t>Total gross Greenhouse Gas Emissions/Normalised (tCO2e per FTE)</t>
  </si>
  <si>
    <t>Fuel Consumption (kwh)</t>
  </si>
  <si>
    <t>Owned, Internal Combustion Engine Vehicles</t>
  </si>
  <si>
    <t>Owned, Electric Vehicles</t>
  </si>
  <si>
    <t>% electric/plug-in hybrid vehciles in corporate fleet</t>
  </si>
  <si>
    <t xml:space="preserve">Reimbursed Mileage &amp; Car rentals </t>
  </si>
  <si>
    <t>Utlities Consumption</t>
  </si>
  <si>
    <t>Gas</t>
  </si>
  <si>
    <t xml:space="preserve">Electricity </t>
  </si>
  <si>
    <t>Electricity (Renewables via REGO/RECs)</t>
  </si>
  <si>
    <t>% Electricity (Renewables via REGO/RECs)</t>
  </si>
  <si>
    <t>District Cooling</t>
  </si>
  <si>
    <t xml:space="preserve">District Heating </t>
  </si>
  <si>
    <t>Total Energy Consumption</t>
  </si>
  <si>
    <t>Utlities Consumption (kwh)</t>
  </si>
  <si>
    <t xml:space="preserve">Fuel Consumption </t>
  </si>
  <si>
    <t>Water Usage</t>
  </si>
  <si>
    <t>Water usgae (m3)</t>
  </si>
  <si>
    <t>Waste production (tonnes)</t>
  </si>
  <si>
    <t>Waste Production (tonnes)</t>
  </si>
  <si>
    <t>Recycled (%)</t>
  </si>
  <si>
    <t>Diverted from Landfill (%)</t>
  </si>
  <si>
    <t>% of DTTL Supply chain (by emissions) that have set a science-based carbon reduction target (SBT)</t>
  </si>
  <si>
    <t>NA</t>
  </si>
  <si>
    <t>Other Metrics/Normalised (tCO2e per FTE)</t>
  </si>
  <si>
    <t>Energy Consumption (kWh per FTE)</t>
  </si>
  <si>
    <t>Water usgae (m3 per FTE)</t>
  </si>
  <si>
    <t>Waste Production (tonnes per FTE)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</si>
</sst>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9" fontId="3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9" fontId="0" fillId="0" borderId="0" xfId="0" applyNumberFormat="1"/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vertical="center"/>
    </xf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3D615-8BDB-4685-AAAD-87ACE3B26AE0}" name="Table1" displayName="Table1" ref="A1:I36" totalsRowShown="0" headerRowDxfId="6">
  <autoFilter ref="A1:I36" xr:uid="{2E93D615-8BDB-4685-AAAD-87ACE3B26AE0}"/>
  <tableColumns count="9">
    <tableColumn id="1" xr3:uid="{D079A062-54C2-49C2-B7EE-506AB13EBBCD}" name="METRIC"/>
    <tableColumn id="2" xr3:uid="{89C68902-5D93-42CC-AA01-304164772270}" name="CATEGORY"/>
    <tableColumn id="3" xr3:uid="{F73D48F1-C504-4303-A0E7-12B1BCBE48B1}" name="FY19" totalsRowDxfId="5"/>
    <tableColumn id="4" xr3:uid="{0F450A1E-4F5A-40EF-8420-E78E701F0B17}" name="FY20"/>
    <tableColumn id="5" xr3:uid="{466179C5-8F64-4129-B12F-C08DCC41053C}" name="FY21"/>
    <tableColumn id="6" xr3:uid="{30F9C613-A6CB-44B0-818F-90A61FE52EC0}" name="YEARLY TRENDS"/>
    <tableColumn id="7" xr3:uid="{A6F25D90-29E2-4CDD-8DA6-0E23B6F1B0C9}" name="YoY (19-20)" dataDxfId="4" dataCellStyle="Percent">
      <calculatedColumnFormula>(Table1[[#This Row],[FY20]]-Table1[[#This Row],[FY19]])/Table1[[#This Row],[FY19]]</calculatedColumnFormula>
    </tableColumn>
    <tableColumn id="8" xr3:uid="{6BC7A1AC-57C1-4110-945B-1C3D018D0E2B}" name="YoY (20-21)" dataDxfId="3" totalsRowDxfId="2" dataCellStyle="Percent">
      <calculatedColumnFormula>(Table1[[#This Row],[FY21]]-Table1[[#This Row],[FY20]])/Table1[[#This Row],[FY20]]</calculatedColumnFormula>
    </tableColumn>
    <tableColumn id="9" xr3:uid="{49CE0C5C-38CF-44E4-A340-F2AD26AA3E40}" name="CAGR" dataDxfId="1" totalsRowDxfId="0" dataCellStyle="Percent">
      <calculatedColumnFormula>((Table1[[#This Row],[FY21]]/Table1[[#This Row],[FY19]])^0.5)-1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70" zoomScaleNormal="70" workbookViewId="0">
      <selection activeCell="K37" sqref="K37"/>
    </sheetView>
  </sheetViews>
  <sheetFormatPr defaultRowHeight="14.4" x14ac:dyDescent="0.3"/>
  <cols>
    <col min="1" max="1" width="59" customWidth="1"/>
    <col min="2" max="2" width="84.33203125" customWidth="1"/>
    <col min="3" max="3" width="10.109375" customWidth="1"/>
    <col min="6" max="6" width="17.5546875" customWidth="1"/>
    <col min="7" max="7" width="16.109375" style="5" customWidth="1"/>
    <col min="8" max="8" width="15.88671875" style="5" customWidth="1"/>
    <col min="9" max="9" width="11.33203125" style="5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11</v>
      </c>
      <c r="G1" s="4" t="s">
        <v>8</v>
      </c>
      <c r="H1" s="4" t="s">
        <v>9</v>
      </c>
      <c r="I1" s="4" t="s">
        <v>10</v>
      </c>
    </row>
    <row r="2" spans="1:9" x14ac:dyDescent="0.3">
      <c r="A2" s="2" t="s">
        <v>5</v>
      </c>
      <c r="B2" t="s">
        <v>6</v>
      </c>
      <c r="C2" s="3">
        <v>3083</v>
      </c>
      <c r="D2" s="3">
        <v>2300</v>
      </c>
      <c r="E2" s="3">
        <v>2045</v>
      </c>
      <c r="F2" s="3"/>
      <c r="G2" s="5">
        <f>(Table1[[#This Row],[FY20]]-Table1[[#This Row],[FY19]])/Table1[[#This Row],[FY19]]</f>
        <v>-0.25397340253000322</v>
      </c>
      <c r="H2" s="5">
        <f>(Table1[[#This Row],[FY21]]-Table1[[#This Row],[FY20]])/Table1[[#This Row],[FY20]]</f>
        <v>-0.1108695652173913</v>
      </c>
      <c r="I2" s="5">
        <f>((Table1[[#This Row],[FY21]]/Table1[[#This Row],[FY19]])^0.5)-1</f>
        <v>-0.18555850242765226</v>
      </c>
    </row>
    <row r="3" spans="1:9" x14ac:dyDescent="0.3">
      <c r="B3" t="s">
        <v>7</v>
      </c>
      <c r="C3">
        <v>109</v>
      </c>
      <c r="D3">
        <v>124</v>
      </c>
      <c r="E3">
        <v>12</v>
      </c>
      <c r="F3" s="3"/>
      <c r="G3" s="5">
        <f>(Table1[[#This Row],[FY20]]-Table1[[#This Row],[FY19]])/Table1[[#This Row],[FY19]]</f>
        <v>0.13761467889908258</v>
      </c>
      <c r="H3" s="5">
        <f>(Table1[[#This Row],[FY21]]-Table1[[#This Row],[FY20]])/Table1[[#This Row],[FY20]]</f>
        <v>-0.90322580645161288</v>
      </c>
      <c r="I3" s="5">
        <f>((Table1[[#This Row],[FY21]]/Table1[[#This Row],[FY19]])^0.5)-1</f>
        <v>-0.66819924183440138</v>
      </c>
    </row>
    <row r="4" spans="1:9" x14ac:dyDescent="0.3">
      <c r="A4" s="2" t="s">
        <v>12</v>
      </c>
      <c r="B4" t="s">
        <v>13</v>
      </c>
      <c r="C4">
        <v>3353</v>
      </c>
      <c r="D4">
        <v>0</v>
      </c>
      <c r="E4">
        <v>0</v>
      </c>
      <c r="F4" s="3"/>
      <c r="G4" s="5">
        <f>(Table1[[#This Row],[FY20]]-Table1[[#This Row],[FY19]])/Table1[[#This Row],[FY19]]</f>
        <v>-1</v>
      </c>
      <c r="H4" s="5">
        <v>-1</v>
      </c>
      <c r="I4" s="5">
        <f>((Table1[[#This Row],[FY21]]/Table1[[#This Row],[FY19]])^0.5)-1</f>
        <v>-1</v>
      </c>
    </row>
    <row r="5" spans="1:9" x14ac:dyDescent="0.3">
      <c r="B5" t="s">
        <v>14</v>
      </c>
      <c r="C5">
        <v>258</v>
      </c>
      <c r="D5">
        <v>142</v>
      </c>
      <c r="E5">
        <v>127</v>
      </c>
      <c r="F5" s="3"/>
      <c r="G5" s="5">
        <f>(Table1[[#This Row],[FY20]]-Table1[[#This Row],[FY19]])/Table1[[#This Row],[FY19]]</f>
        <v>-0.44961240310077522</v>
      </c>
      <c r="H5" s="5">
        <f>(Table1[[#This Row],[FY21]]-Table1[[#This Row],[FY20]])/Table1[[#This Row],[FY20]]</f>
        <v>-0.10563380281690141</v>
      </c>
      <c r="I5" s="5">
        <f>((Table1[[#This Row],[FY21]]/Table1[[#This Row],[FY19]])^0.5)-1</f>
        <v>-0.2983960789622796</v>
      </c>
    </row>
    <row r="6" spans="1:9" x14ac:dyDescent="0.3">
      <c r="B6" t="s">
        <v>15</v>
      </c>
      <c r="C6">
        <v>3</v>
      </c>
      <c r="D6">
        <v>3</v>
      </c>
      <c r="E6">
        <v>0</v>
      </c>
      <c r="F6" s="3"/>
      <c r="G6" s="5">
        <f>(Table1[[#This Row],[FY20]]-Table1[[#This Row],[FY19]])/Table1[[#This Row],[FY19]]</f>
        <v>0</v>
      </c>
      <c r="H6" s="5">
        <f>(Table1[[#This Row],[FY21]]-Table1[[#This Row],[FY20]])/Table1[[#This Row],[FY20]]</f>
        <v>-1</v>
      </c>
      <c r="I6" s="5">
        <f>((Table1[[#This Row],[FY21]]/Table1[[#This Row],[FY19]])^0.5)-1</f>
        <v>-1</v>
      </c>
    </row>
    <row r="7" spans="1:9" x14ac:dyDescent="0.3">
      <c r="B7" s="2" t="s">
        <v>16</v>
      </c>
      <c r="C7" s="2">
        <v>6807</v>
      </c>
      <c r="D7" s="2">
        <v>2570</v>
      </c>
      <c r="E7" s="2">
        <v>2184</v>
      </c>
      <c r="G7" s="5">
        <f>(Table1[[#This Row],[FY20]]-Table1[[#This Row],[FY19]])/Table1[[#This Row],[FY19]]</f>
        <v>-0.62244748053474364</v>
      </c>
      <c r="H7" s="5">
        <f>(Table1[[#This Row],[FY21]]-Table1[[#This Row],[FY20]])/Table1[[#This Row],[FY20]]</f>
        <v>-0.15019455252918287</v>
      </c>
      <c r="I7" s="5">
        <f>((Table1[[#This Row],[FY21]]/Table1[[#This Row],[FY19]])^0.5)-1</f>
        <v>-0.43356713747531683</v>
      </c>
    </row>
    <row r="8" spans="1:9" x14ac:dyDescent="0.3">
      <c r="A8" s="2" t="s">
        <v>17</v>
      </c>
      <c r="B8" t="s">
        <v>18</v>
      </c>
      <c r="C8">
        <v>50099</v>
      </c>
      <c r="D8">
        <v>39945</v>
      </c>
      <c r="E8">
        <v>1512</v>
      </c>
      <c r="G8" s="5">
        <f>(Table1[[#This Row],[FY20]]-Table1[[#This Row],[FY19]])/Table1[[#This Row],[FY19]]</f>
        <v>-0.20267869618156051</v>
      </c>
      <c r="H8" s="5">
        <f>(Table1[[#This Row],[FY21]]-Table1[[#This Row],[FY20]])/Table1[[#This Row],[FY20]]</f>
        <v>-0.96214795343597448</v>
      </c>
      <c r="I8" s="5">
        <f>((Table1[[#This Row],[FY21]]/Table1[[#This Row],[FY19]])^0.5)-1</f>
        <v>-0.82627538136860068</v>
      </c>
    </row>
    <row r="9" spans="1:9" x14ac:dyDescent="0.3">
      <c r="B9" t="s">
        <v>19</v>
      </c>
      <c r="C9">
        <v>92279</v>
      </c>
      <c r="D9">
        <v>73504</v>
      </c>
      <c r="E9">
        <v>77751</v>
      </c>
      <c r="G9" s="5">
        <f>(Table1[[#This Row],[FY20]]-Table1[[#This Row],[FY19]])/Table1[[#This Row],[FY19]]</f>
        <v>-0.20345907519587339</v>
      </c>
      <c r="H9" s="5">
        <f>(Table1[[#This Row],[FY21]]-Table1[[#This Row],[FY20]])/Table1[[#This Row],[FY20]]</f>
        <v>5.7779168480626905E-2</v>
      </c>
      <c r="I9" s="5">
        <f>((Table1[[#This Row],[FY21]]/Table1[[#This Row],[FY19]])^0.5)-1</f>
        <v>-8.2086933800319728E-2</v>
      </c>
    </row>
    <row r="10" spans="1:9" x14ac:dyDescent="0.3">
      <c r="B10" s="2" t="s">
        <v>20</v>
      </c>
      <c r="C10" s="2">
        <v>57806</v>
      </c>
      <c r="D10" s="2">
        <v>42515</v>
      </c>
      <c r="E10" s="2">
        <v>3696</v>
      </c>
      <c r="G10" s="5">
        <f>(Table1[[#This Row],[FY20]]-Table1[[#This Row],[FY19]])/Table1[[#This Row],[FY19]]</f>
        <v>-0.26452271390513094</v>
      </c>
      <c r="H10" s="5">
        <f>(Table1[[#This Row],[FY21]]-Table1[[#This Row],[FY20]])/Table1[[#This Row],[FY20]]</f>
        <v>-0.91306597671410095</v>
      </c>
      <c r="I10" s="5">
        <f>((Table1[[#This Row],[FY21]]/Table1[[#This Row],[FY19]])^0.5)-1</f>
        <v>-0.74714035609528118</v>
      </c>
    </row>
    <row r="11" spans="1:9" x14ac:dyDescent="0.3">
      <c r="B11" s="2" t="s">
        <v>21</v>
      </c>
      <c r="C11" s="2">
        <v>150085</v>
      </c>
      <c r="D11" s="2">
        <v>116020</v>
      </c>
      <c r="E11" s="2">
        <v>81447</v>
      </c>
      <c r="G11" s="5">
        <f>(Table1[[#This Row],[FY20]]-Table1[[#This Row],[FY19]])/Table1[[#This Row],[FY19]]</f>
        <v>-0.22697138288303295</v>
      </c>
      <c r="H11" s="5">
        <f>(Table1[[#This Row],[FY21]]-Table1[[#This Row],[FY20]])/Table1[[#This Row],[FY20]]</f>
        <v>-0.29799172556455783</v>
      </c>
      <c r="I11" s="5">
        <f>((Table1[[#This Row],[FY21]]/Table1[[#This Row],[FY19]])^0.5)-1</f>
        <v>-0.26333692532372832</v>
      </c>
    </row>
    <row r="12" spans="1:9" x14ac:dyDescent="0.3">
      <c r="A12" s="2" t="s">
        <v>22</v>
      </c>
      <c r="B12" t="s">
        <v>23</v>
      </c>
      <c r="C12">
        <v>0</v>
      </c>
      <c r="D12" s="3">
        <v>42515</v>
      </c>
      <c r="E12">
        <v>81447</v>
      </c>
      <c r="G12" s="5">
        <v>1</v>
      </c>
      <c r="H12" s="5">
        <f>(Table1[[#This Row],[FY21]]-Table1[[#This Row],[FY20]])/Table1[[#This Row],[FY20]]</f>
        <v>0.9157238621662942</v>
      </c>
      <c r="I12" s="5">
        <v>1</v>
      </c>
    </row>
    <row r="13" spans="1:9" x14ac:dyDescent="0.3">
      <c r="A13" s="2" t="s">
        <v>27</v>
      </c>
      <c r="B13" t="s">
        <v>24</v>
      </c>
      <c r="C13">
        <v>0.38</v>
      </c>
      <c r="D13">
        <v>0.13</v>
      </c>
      <c r="E13">
        <v>0.11</v>
      </c>
      <c r="G13" s="5">
        <f>(Table1[[#This Row],[FY20]]-Table1[[#This Row],[FY19]])/Table1[[#This Row],[FY19]]</f>
        <v>-0.65789473684210531</v>
      </c>
      <c r="H13" s="5">
        <f>(Table1[[#This Row],[FY21]]-Table1[[#This Row],[FY20]])/Table1[[#This Row],[FY20]]</f>
        <v>-0.15384615384615388</v>
      </c>
      <c r="I13" s="5">
        <f>((Table1[[#This Row],[FY21]]/Table1[[#This Row],[FY19]])^0.5)-1</f>
        <v>-0.46197241315102966</v>
      </c>
    </row>
    <row r="14" spans="1:9" x14ac:dyDescent="0.3">
      <c r="B14" t="s">
        <v>25</v>
      </c>
      <c r="C14">
        <v>3.21</v>
      </c>
      <c r="D14">
        <v>2.13</v>
      </c>
      <c r="E14">
        <v>0.18</v>
      </c>
      <c r="G14" s="5">
        <f>(Table1[[#This Row],[FY20]]-Table1[[#This Row],[FY19]])/Table1[[#This Row],[FY19]]</f>
        <v>-0.33644859813084116</v>
      </c>
      <c r="H14" s="5">
        <f>(Table1[[#This Row],[FY21]]-Table1[[#This Row],[FY20]])/Table1[[#This Row],[FY20]]</f>
        <v>-0.91549295774647887</v>
      </c>
      <c r="I14" s="5">
        <f>((Table1[[#This Row],[FY21]]/Table1[[#This Row],[FY19]])^0.5)-1</f>
        <v>-0.76319888861084251</v>
      </c>
    </row>
    <row r="15" spans="1:9" x14ac:dyDescent="0.3">
      <c r="B15" t="s">
        <v>26</v>
      </c>
      <c r="C15">
        <v>8.34</v>
      </c>
      <c r="D15">
        <v>5.82</v>
      </c>
      <c r="E15">
        <v>3.94</v>
      </c>
      <c r="G15" s="5">
        <f>(Table1[[#This Row],[FY20]]-Table1[[#This Row],[FY19]])/Table1[[#This Row],[FY19]]</f>
        <v>-0.30215827338129492</v>
      </c>
      <c r="H15" s="5">
        <f>(Table1[[#This Row],[FY21]]-Table1[[#This Row],[FY20]])/Table1[[#This Row],[FY20]]</f>
        <v>-0.32302405498281789</v>
      </c>
      <c r="I15" s="5">
        <f>((Table1[[#This Row],[FY21]]/Table1[[#This Row],[FY19]])^0.5)-1</f>
        <v>-0.31267033939301014</v>
      </c>
    </row>
    <row r="16" spans="1:9" x14ac:dyDescent="0.3">
      <c r="A16" s="2" t="s">
        <v>42</v>
      </c>
      <c r="B16" s="2" t="s">
        <v>28</v>
      </c>
      <c r="C16">
        <v>11391238</v>
      </c>
      <c r="D16">
        <v>8911626</v>
      </c>
      <c r="E16">
        <v>1667319</v>
      </c>
      <c r="G16" s="5">
        <f>(Table1[[#This Row],[FY20]]-Table1[[#This Row],[FY19]])/Table1[[#This Row],[FY19]]</f>
        <v>-0.21767713044008036</v>
      </c>
      <c r="H16" s="5">
        <f>(Table1[[#This Row],[FY21]]-Table1[[#This Row],[FY20]])/Table1[[#This Row],[FY20]]</f>
        <v>-0.81290518699954417</v>
      </c>
      <c r="I16" s="5">
        <f>((Table1[[#This Row],[FY21]]/Table1[[#This Row],[FY19]])^0.5)-1</f>
        <v>-0.61741856947011509</v>
      </c>
    </row>
    <row r="17" spans="1:9" x14ac:dyDescent="0.3">
      <c r="B17" t="s">
        <v>29</v>
      </c>
      <c r="C17">
        <v>444447</v>
      </c>
      <c r="D17">
        <v>505598</v>
      </c>
      <c r="E17">
        <v>47343</v>
      </c>
      <c r="G17" s="5">
        <f>(Table1[[#This Row],[FY20]]-Table1[[#This Row],[FY19]])/Table1[[#This Row],[FY19]]</f>
        <v>0.13758895886348654</v>
      </c>
      <c r="H17" s="5">
        <f>(Table1[[#This Row],[FY21]]-Table1[[#This Row],[FY20]])/Table1[[#This Row],[FY20]]</f>
        <v>-0.90636236693974259</v>
      </c>
      <c r="I17" s="5">
        <f>((Table1[[#This Row],[FY21]]/Table1[[#This Row],[FY19]])^0.5)-1</f>
        <v>-0.67362423879298361</v>
      </c>
    </row>
    <row r="18" spans="1:9" x14ac:dyDescent="0.3">
      <c r="B18" t="s">
        <v>30</v>
      </c>
      <c r="C18">
        <v>7941</v>
      </c>
      <c r="D18">
        <v>9249</v>
      </c>
      <c r="E18">
        <v>1086</v>
      </c>
      <c r="G18" s="5">
        <f>(Table1[[#This Row],[FY20]]-Table1[[#This Row],[FY19]])/Table1[[#This Row],[FY19]]</f>
        <v>0.16471477143936533</v>
      </c>
      <c r="H18" s="5">
        <f>(Table1[[#This Row],[FY21]]-Table1[[#This Row],[FY20]])/Table1[[#This Row],[FY20]]</f>
        <v>-0.8825819007460266</v>
      </c>
      <c r="I18" s="5">
        <f>((Table1[[#This Row],[FY21]]/Table1[[#This Row],[FY19]])^0.5)-1</f>
        <v>-0.6301911377002487</v>
      </c>
    </row>
    <row r="19" spans="1:9" x14ac:dyDescent="0.3">
      <c r="B19" t="s">
        <v>31</v>
      </c>
      <c r="C19" s="6">
        <v>0</v>
      </c>
      <c r="D19" s="6">
        <v>0.26</v>
      </c>
      <c r="E19" s="6">
        <v>0.62</v>
      </c>
      <c r="G19" s="5">
        <f>(Table1[[#This Row],[FY20]]-Table1[[#This Row],[FY19]])/1</f>
        <v>0.26</v>
      </c>
      <c r="H19" s="5">
        <f>(Table1[[#This Row],[FY21]]-Table1[[#This Row],[FY20]])/Table1[[#This Row],[FY20]]</f>
        <v>1.3846153846153846</v>
      </c>
      <c r="I19" s="5">
        <f>((Table1[[#This Row],[FY21]]/Table1[[#This Row],[FY20]])^1)-1</f>
        <v>1.3846153846153846</v>
      </c>
    </row>
    <row r="20" spans="1:9" x14ac:dyDescent="0.3">
      <c r="B20" t="s">
        <v>32</v>
      </c>
      <c r="C20">
        <v>10938850</v>
      </c>
      <c r="D20">
        <v>8396780</v>
      </c>
      <c r="E20">
        <v>1618889</v>
      </c>
      <c r="G20" s="5">
        <f>(Table1[[#This Row],[FY20]]-Table1[[#This Row],[FY19]])/Table1[[#This Row],[FY19]]</f>
        <v>-0.23238914511123199</v>
      </c>
      <c r="H20" s="5">
        <f>(Table1[[#This Row],[FY21]]-Table1[[#This Row],[FY20]])/Table1[[#This Row],[FY20]]</f>
        <v>-0.80720121284587665</v>
      </c>
      <c r="I20" s="5">
        <f>((Table1[[#This Row],[FY21]]/Table1[[#This Row],[FY19]])^0.5)-1</f>
        <v>-0.61529954272331011</v>
      </c>
    </row>
    <row r="21" spans="1:9" x14ac:dyDescent="0.3">
      <c r="A21" s="2" t="s">
        <v>33</v>
      </c>
      <c r="B21" s="2" t="s">
        <v>41</v>
      </c>
      <c r="C21">
        <v>49441472</v>
      </c>
      <c r="D21">
        <v>38402671</v>
      </c>
      <c r="E21">
        <v>31481950</v>
      </c>
      <c r="G21" s="5">
        <f>(Table1[[#This Row],[FY20]]-Table1[[#This Row],[FY19]])/Table1[[#This Row],[FY19]]</f>
        <v>-0.22327007173249211</v>
      </c>
      <c r="H21" s="5">
        <f>(Table1[[#This Row],[FY21]]-Table1[[#This Row],[FY20]])/Table1[[#This Row],[FY20]]</f>
        <v>-0.18021457413730416</v>
      </c>
      <c r="I21" s="5">
        <f>((Table1[[#This Row],[FY21]]/Table1[[#This Row],[FY19]])^0.5)-1</f>
        <v>-0.20203266042708234</v>
      </c>
    </row>
    <row r="22" spans="1:9" x14ac:dyDescent="0.3">
      <c r="B22" t="s">
        <v>34</v>
      </c>
      <c r="C22">
        <v>16758611</v>
      </c>
      <c r="D22">
        <v>12510278</v>
      </c>
      <c r="E22">
        <v>11123521</v>
      </c>
      <c r="G22" s="5">
        <f>(Table1[[#This Row],[FY20]]-Table1[[#This Row],[FY19]])/Table1[[#This Row],[FY19]]</f>
        <v>-0.2535014984237059</v>
      </c>
      <c r="H22" s="5">
        <f>(Table1[[#This Row],[FY21]]-Table1[[#This Row],[FY20]])/Table1[[#This Row],[FY20]]</f>
        <v>-0.11084941517686497</v>
      </c>
      <c r="I22" s="5">
        <f>((Table1[[#This Row],[FY21]]/Table1[[#This Row],[FY19]])^0.5)-1</f>
        <v>-0.18529172138356431</v>
      </c>
    </row>
    <row r="23" spans="1:9" x14ac:dyDescent="0.3">
      <c r="B23" t="s">
        <v>35</v>
      </c>
      <c r="C23">
        <v>31661469</v>
      </c>
      <c r="D23">
        <v>25234861</v>
      </c>
      <c r="E23">
        <v>19713553</v>
      </c>
      <c r="G23" s="5">
        <f>(Table1[[#This Row],[FY20]]-Table1[[#This Row],[FY19]])/Table1[[#This Row],[FY19]]</f>
        <v>-0.20297883209398782</v>
      </c>
      <c r="H23" s="5">
        <f>(Table1[[#This Row],[FY21]]-Table1[[#This Row],[FY20]])/Table1[[#This Row],[FY20]]</f>
        <v>-0.21879684615659267</v>
      </c>
      <c r="I23" s="5">
        <f>((Table1[[#This Row],[FY21]]/Table1[[#This Row],[FY19]])^0.5)-1</f>
        <v>-0.21092747478566165</v>
      </c>
    </row>
    <row r="24" spans="1:9" x14ac:dyDescent="0.3">
      <c r="B24" t="s">
        <v>36</v>
      </c>
      <c r="C24">
        <v>22859866</v>
      </c>
      <c r="D24">
        <v>25234861</v>
      </c>
      <c r="E24">
        <v>19713553</v>
      </c>
      <c r="G24" s="5">
        <f>(Table1[[#This Row],[FY20]]-Table1[[#This Row],[FY19]])/Table1[[#This Row],[FY19]]</f>
        <v>0.10389365361984186</v>
      </c>
      <c r="H24" s="5">
        <f>(Table1[[#This Row],[FY21]]-Table1[[#This Row],[FY20]])/Table1[[#This Row],[FY20]]</f>
        <v>-0.21879684615659267</v>
      </c>
      <c r="I24" s="5">
        <f>((Table1[[#This Row],[FY21]]/Table1[[#This Row],[FY19]])^0.5)-1</f>
        <v>-7.136379366538681E-2</v>
      </c>
    </row>
    <row r="25" spans="1:9" x14ac:dyDescent="0.3">
      <c r="B25" t="s">
        <v>37</v>
      </c>
      <c r="C25" s="6">
        <v>0.72</v>
      </c>
      <c r="D25" s="6">
        <v>1</v>
      </c>
      <c r="E25" s="6">
        <v>1</v>
      </c>
      <c r="G25" s="5">
        <f>(Table1[[#This Row],[FY20]]-Table1[[#This Row],[FY19]])/Table1[[#This Row],[FY19]]</f>
        <v>0.38888888888888895</v>
      </c>
      <c r="H25" s="5">
        <f>(Table1[[#This Row],[FY21]]-Table1[[#This Row],[FY20]])/Table1[[#This Row],[FY20]]</f>
        <v>0</v>
      </c>
      <c r="I25" s="5">
        <f>((Table1[[#This Row],[FY21]]/Table1[[#This Row],[FY19]])^0.5)-1</f>
        <v>0.17851130197757925</v>
      </c>
    </row>
    <row r="26" spans="1:9" x14ac:dyDescent="0.3">
      <c r="B26" t="s">
        <v>39</v>
      </c>
      <c r="C26">
        <v>285232</v>
      </c>
      <c r="D26">
        <v>270551</v>
      </c>
      <c r="E26">
        <v>386596</v>
      </c>
      <c r="G26" s="5">
        <f>(Table1[[#This Row],[FY20]]-Table1[[#This Row],[FY19]])/Table1[[#This Row],[FY19]]</f>
        <v>-5.1470382004824143E-2</v>
      </c>
      <c r="H26" s="5">
        <f>(Table1[[#This Row],[FY21]]-Table1[[#This Row],[FY20]])/Table1[[#This Row],[FY20]]</f>
        <v>0.42892097977830429</v>
      </c>
      <c r="I26" s="5">
        <f>((Table1[[#This Row],[FY21]]/Table1[[#This Row],[FY19]])^0.5)-1</f>
        <v>0.16420525299210342</v>
      </c>
    </row>
    <row r="27" spans="1:9" x14ac:dyDescent="0.3">
      <c r="B27" t="s">
        <v>38</v>
      </c>
      <c r="C27">
        <v>736160</v>
      </c>
      <c r="D27">
        <v>386980</v>
      </c>
      <c r="E27">
        <v>258280</v>
      </c>
      <c r="G27" s="5">
        <f>(Table1[[#This Row],[FY20]]-Table1[[#This Row],[FY19]])/Table1[[#This Row],[FY19]]</f>
        <v>-0.47432623342751573</v>
      </c>
      <c r="H27" s="5">
        <f>(Table1[[#This Row],[FY21]]-Table1[[#This Row],[FY20]])/Table1[[#This Row],[FY20]]</f>
        <v>-0.33257532689027858</v>
      </c>
      <c r="I27" s="5">
        <f>((Table1[[#This Row],[FY21]]/Table1[[#This Row],[FY19]])^0.5)-1</f>
        <v>-0.40767606682069968</v>
      </c>
    </row>
    <row r="28" spans="1:9" x14ac:dyDescent="0.3">
      <c r="B28" s="2" t="s">
        <v>40</v>
      </c>
      <c r="C28">
        <v>60832710</v>
      </c>
      <c r="D28">
        <v>47314297</v>
      </c>
      <c r="E28">
        <v>33149270</v>
      </c>
      <c r="G28" s="5">
        <f>(Table1[[#This Row],[FY20]]-Table1[[#This Row],[FY19]])/Table1[[#This Row],[FY19]]</f>
        <v>-0.22222276469353411</v>
      </c>
      <c r="H28" s="5">
        <f>(Table1[[#This Row],[FY21]]-Table1[[#This Row],[FY20]])/Table1[[#This Row],[FY20]]</f>
        <v>-0.29938153788906552</v>
      </c>
      <c r="I28" s="5">
        <f>((Table1[[#This Row],[FY21]]/Table1[[#This Row],[FY19]])^0.5)-1</f>
        <v>-0.26180958387059061</v>
      </c>
    </row>
    <row r="29" spans="1:9" x14ac:dyDescent="0.3">
      <c r="A29" s="2" t="s">
        <v>43</v>
      </c>
      <c r="B29" s="2" t="s">
        <v>44</v>
      </c>
      <c r="C29">
        <v>141010</v>
      </c>
      <c r="D29">
        <v>108491</v>
      </c>
      <c r="E29">
        <v>53007</v>
      </c>
      <c r="G29" s="5">
        <f>(Table1[[#This Row],[FY20]]-Table1[[#This Row],[FY19]])/Table1[[#This Row],[FY19]]</f>
        <v>-0.23061485001063756</v>
      </c>
      <c r="H29" s="5">
        <f>(Table1[[#This Row],[FY21]]-Table1[[#This Row],[FY20]])/Table1[[#This Row],[FY20]]</f>
        <v>-0.51141569346766091</v>
      </c>
      <c r="I29" s="5">
        <f>((Table1[[#This Row],[FY21]]/Table1[[#This Row],[FY19]])^0.5)-1</f>
        <v>-0.38688540225840951</v>
      </c>
    </row>
    <row r="30" spans="1:9" x14ac:dyDescent="0.3">
      <c r="A30" s="2" t="s">
        <v>45</v>
      </c>
      <c r="B30" s="2" t="s">
        <v>46</v>
      </c>
      <c r="C30">
        <v>2635</v>
      </c>
      <c r="D30">
        <v>2078</v>
      </c>
      <c r="E30">
        <v>382</v>
      </c>
      <c r="G30" s="5">
        <f>(Table1[[#This Row],[FY20]]-Table1[[#This Row],[FY19]])/Table1[[#This Row],[FY19]]</f>
        <v>-0.21138519924098673</v>
      </c>
      <c r="H30" s="5">
        <f>(Table1[[#This Row],[FY21]]-Table1[[#This Row],[FY20]])/Table1[[#This Row],[FY20]]</f>
        <v>-0.81616939364773822</v>
      </c>
      <c r="I30" s="5">
        <f>((Table1[[#This Row],[FY21]]/Table1[[#This Row],[FY19]])^0.5)-1</f>
        <v>-0.61924872028856226</v>
      </c>
    </row>
    <row r="31" spans="1:9" x14ac:dyDescent="0.3">
      <c r="B31" t="s">
        <v>47</v>
      </c>
      <c r="C31" s="6">
        <v>0.55000000000000004</v>
      </c>
      <c r="D31" s="6">
        <v>0.56999999999999995</v>
      </c>
      <c r="E31" s="6">
        <v>0.5</v>
      </c>
      <c r="G31" s="5">
        <f>(Table1[[#This Row],[FY20]]-Table1[[#This Row],[FY19]])/Table1[[#This Row],[FY19]]</f>
        <v>3.6363636363636188E-2</v>
      </c>
      <c r="H31" s="5">
        <f>(Table1[[#This Row],[FY21]]-Table1[[#This Row],[FY20]])/Table1[[#This Row],[FY20]]</f>
        <v>-0.12280701754385957</v>
      </c>
      <c r="I31" s="5">
        <f>((Table1[[#This Row],[FY21]]/Table1[[#This Row],[FY19]])^0.5)-1</f>
        <v>-4.6537410754407649E-2</v>
      </c>
    </row>
    <row r="32" spans="1:9" x14ac:dyDescent="0.3">
      <c r="B32" t="s">
        <v>48</v>
      </c>
      <c r="C32" s="6">
        <v>0.99</v>
      </c>
      <c r="D32" s="6">
        <v>0.99</v>
      </c>
      <c r="E32" s="6">
        <v>1</v>
      </c>
      <c r="G32" s="5">
        <f>(Table1[[#This Row],[FY20]]-Table1[[#This Row],[FY19]])/Table1[[#This Row],[FY19]]</f>
        <v>0</v>
      </c>
      <c r="H32" s="5">
        <f>(Table1[[#This Row],[FY21]]-Table1[[#This Row],[FY20]])/Table1[[#This Row],[FY20]]</f>
        <v>1.0101010101010111E-2</v>
      </c>
      <c r="I32" s="5">
        <f>((Table1[[#This Row],[FY21]]/Table1[[#This Row],[FY19]])^0.5)-1</f>
        <v>5.0378152592120973E-3</v>
      </c>
    </row>
    <row r="33" spans="1:9" s="7" customFormat="1" ht="19.2" customHeight="1" x14ac:dyDescent="0.3">
      <c r="B33" s="9" t="s">
        <v>49</v>
      </c>
      <c r="C33" s="7" t="s">
        <v>50</v>
      </c>
      <c r="D33" s="7" t="s">
        <v>50</v>
      </c>
      <c r="E33" s="10">
        <v>0.08</v>
      </c>
      <c r="G33" s="8" t="s">
        <v>50</v>
      </c>
      <c r="H33" s="8" t="s">
        <v>50</v>
      </c>
      <c r="I33" s="8">
        <f>Table1[[#This Row],[FY21]]</f>
        <v>0.08</v>
      </c>
    </row>
    <row r="34" spans="1:9" x14ac:dyDescent="0.3">
      <c r="A34" s="2" t="s">
        <v>51</v>
      </c>
      <c r="B34" t="s">
        <v>52</v>
      </c>
      <c r="C34">
        <v>3382</v>
      </c>
      <c r="D34">
        <v>2372</v>
      </c>
      <c r="E34">
        <v>1605</v>
      </c>
      <c r="G34" s="5">
        <f>(Table1[[#This Row],[FY20]]-Table1[[#This Row],[FY19]])/Table1[[#This Row],[FY19]]</f>
        <v>-0.29863985807214666</v>
      </c>
      <c r="H34" s="5">
        <f>(Table1[[#This Row],[FY21]]-Table1[[#This Row],[FY20]])/Table1[[#This Row],[FY20]]</f>
        <v>-0.32335581787521078</v>
      </c>
      <c r="I34" s="5">
        <f>((Table1[[#This Row],[FY21]]/Table1[[#This Row],[FY19]])^0.5)-1</f>
        <v>-0.31110867358508687</v>
      </c>
    </row>
    <row r="35" spans="1:9" x14ac:dyDescent="0.3">
      <c r="B35" t="s">
        <v>53</v>
      </c>
      <c r="C35">
        <v>7.84</v>
      </c>
      <c r="D35">
        <v>5.44</v>
      </c>
      <c r="E35">
        <v>2.57</v>
      </c>
      <c r="G35" s="5">
        <f>(Table1[[#This Row],[FY20]]-Table1[[#This Row],[FY19]])/Table1[[#This Row],[FY19]]</f>
        <v>-0.30612244897959179</v>
      </c>
      <c r="H35" s="5">
        <f>(Table1[[#This Row],[FY21]]-Table1[[#This Row],[FY20]])/Table1[[#This Row],[FY20]]</f>
        <v>-0.52757352941176472</v>
      </c>
      <c r="I35" s="5">
        <f>((Table1[[#This Row],[FY21]]/Table1[[#This Row],[FY19]])^0.5)-1</f>
        <v>-0.42745644493280732</v>
      </c>
    </row>
    <row r="36" spans="1:9" x14ac:dyDescent="0.3">
      <c r="B36" t="s">
        <v>54</v>
      </c>
      <c r="C36">
        <v>0.14599999999999999</v>
      </c>
      <c r="D36">
        <v>0.104</v>
      </c>
      <c r="E36">
        <v>1.7999999999999999E-2</v>
      </c>
      <c r="G36" s="5">
        <f>(Table1[[#This Row],[FY20]]-Table1[[#This Row],[FY19]])/Table1[[#This Row],[FY19]]</f>
        <v>-0.28767123287671231</v>
      </c>
      <c r="H36" s="5">
        <f>(Table1[[#This Row],[FY21]]-Table1[[#This Row],[FY20]])/Table1[[#This Row],[FY20]]</f>
        <v>-0.82692307692307687</v>
      </c>
      <c r="I36" s="5">
        <f>((Table1[[#This Row],[FY21]]/Table1[[#This Row],[FY19]])^0.5)-1</f>
        <v>-0.6488765584116083</v>
      </c>
    </row>
  </sheetData>
  <conditionalFormatting sqref="G2:G7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G7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:G7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8:G11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4">
      <colorScale>
        <cfvo type="min"/>
        <cfvo type="max"/>
        <color rgb="FF63BE7B"/>
        <color rgb="FFFCFCFF"/>
      </colorScale>
    </cfRule>
  </conditionalFormatting>
  <conditionalFormatting sqref="G13:G15">
    <cfRule type="colorScale" priority="38">
      <colorScale>
        <cfvo type="min"/>
        <cfvo type="max"/>
        <color rgb="FF63BE7B"/>
        <color rgb="FFFCFCFF"/>
      </colorScale>
    </cfRule>
  </conditionalFormatting>
  <conditionalFormatting sqref="G12:I12">
    <cfRule type="colorScale" priority="40">
      <colorScale>
        <cfvo type="min"/>
        <cfvo type="max"/>
        <color rgb="FFFCFCFF"/>
        <color rgb="FF63BE7B"/>
      </colorScale>
    </cfRule>
  </conditionalFormatting>
  <conditionalFormatting sqref="H2:H3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5:H7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8:H11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9">
      <colorScale>
        <cfvo type="min"/>
        <cfvo type="max"/>
        <color rgb="FF63BE7B"/>
        <color rgb="FFFCFCFF"/>
      </colorScale>
    </cfRule>
  </conditionalFormatting>
  <conditionalFormatting sqref="H1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15">
    <cfRule type="colorScale" priority="37">
      <colorScale>
        <cfvo type="min"/>
        <cfvo type="max"/>
        <color rgb="FF63BE7B"/>
        <color rgb="FFFCFCFF"/>
      </colorScale>
    </cfRule>
  </conditionalFormatting>
  <conditionalFormatting sqref="I2:I3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:I7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:I11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2">
      <colorScale>
        <cfvo type="min"/>
        <cfvo type="max"/>
        <color rgb="FF63BE7B"/>
        <color rgb="FFFCFCFF"/>
      </colorScale>
    </cfRule>
  </conditionalFormatting>
  <conditionalFormatting sqref="I13:I15">
    <cfRule type="colorScale" priority="36">
      <colorScale>
        <cfvo type="min"/>
        <cfvo type="max"/>
        <color rgb="FF63BE7B"/>
        <color rgb="FFFCFCFF"/>
      </colorScale>
    </cfRule>
  </conditionalFormatting>
  <conditionalFormatting sqref="G21:G28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1:H28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1:I28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6:G17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6:H17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8">
      <colorScale>
        <cfvo type="min"/>
        <cfvo type="max"/>
        <color rgb="FF63BE7B"/>
        <color rgb="FFFCFCFF"/>
      </colorScale>
    </cfRule>
  </conditionalFormatting>
  <conditionalFormatting sqref="I16:I17">
    <cfRule type="colorScale" priority="26">
      <colorScale>
        <cfvo type="min"/>
        <cfvo type="max"/>
        <color rgb="FF63BE7B"/>
        <color rgb="FFFCFCFF"/>
      </colorScale>
    </cfRule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8">
    <cfRule type="colorScale" priority="25">
      <colorScale>
        <cfvo type="min"/>
        <cfvo type="max"/>
        <color rgb="FFFCFCFF"/>
        <color rgb="FF63BE7B"/>
      </colorScale>
    </cfRule>
  </conditionalFormatting>
  <conditionalFormatting sqref="G19">
    <cfRule type="colorScale" priority="24">
      <colorScale>
        <cfvo type="min"/>
        <cfvo type="max"/>
        <color rgb="FFFCFCFF"/>
        <color rgb="FF63BE7B"/>
      </colorScale>
    </cfRule>
  </conditionalFormatting>
  <conditionalFormatting sqref="H18:H1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9">
    <cfRule type="colorScale" priority="20">
      <colorScale>
        <cfvo type="min"/>
        <cfvo type="max"/>
        <color rgb="FFFCFCFF"/>
        <color rgb="FF63BE7B"/>
      </colorScale>
    </cfRule>
  </conditionalFormatting>
  <conditionalFormatting sqref="G20">
    <cfRule type="colorScale" priority="19">
      <colorScale>
        <cfvo type="min"/>
        <cfvo type="max"/>
        <color rgb="FF63BE7B"/>
        <color rgb="FFFCFCFF"/>
      </colorScale>
    </cfRule>
  </conditionalFormatting>
  <conditionalFormatting sqref="H20">
    <cfRule type="colorScale" priority="18">
      <colorScale>
        <cfvo type="min"/>
        <cfvo type="max"/>
        <color rgb="FFFCFCFF"/>
        <color rgb="FF63BE7B"/>
      </colorScale>
    </cfRule>
  </conditionalFormatting>
  <conditionalFormatting sqref="I20">
    <cfRule type="colorScale" priority="17">
      <colorScale>
        <cfvo type="min"/>
        <cfvo type="max"/>
        <color rgb="FFFCFCFF"/>
        <color rgb="FF63BE7B"/>
      </colorScale>
    </cfRule>
  </conditionalFormatting>
  <conditionalFormatting sqref="G29">
    <cfRule type="colorScale" priority="16">
      <colorScale>
        <cfvo type="min"/>
        <cfvo type="max"/>
        <color rgb="FFFCFCFF"/>
        <color rgb="FF63BE7B"/>
      </colorScale>
    </cfRule>
  </conditionalFormatting>
  <conditionalFormatting sqref="G30">
    <cfRule type="colorScale" priority="15">
      <colorScale>
        <cfvo type="min"/>
        <cfvo type="max"/>
        <color rgb="FFFCFCFF"/>
        <color rgb="FF63BE7B"/>
      </colorScale>
    </cfRule>
  </conditionalFormatting>
  <conditionalFormatting sqref="H29">
    <cfRule type="colorScale" priority="14">
      <colorScale>
        <cfvo type="min"/>
        <cfvo type="max"/>
        <color rgb="FFFCFCFF"/>
        <color rgb="FF63BE7B"/>
      </colorScale>
    </cfRule>
  </conditionalFormatting>
  <conditionalFormatting sqref="H30">
    <cfRule type="colorScale" priority="13">
      <colorScale>
        <cfvo type="min"/>
        <cfvo type="max"/>
        <color rgb="FFFCFCFF"/>
        <color rgb="FF63BE7B"/>
      </colorScale>
    </cfRule>
  </conditionalFormatting>
  <conditionalFormatting sqref="I29">
    <cfRule type="colorScale" priority="12">
      <colorScale>
        <cfvo type="min"/>
        <cfvo type="max"/>
        <color rgb="FFFCFCFF"/>
        <color rgb="FF63BE7B"/>
      </colorScale>
    </cfRule>
  </conditionalFormatting>
  <conditionalFormatting sqref="I30">
    <cfRule type="colorScale" priority="11">
      <colorScale>
        <cfvo type="min"/>
        <cfvo type="max"/>
        <color rgb="FFFCFCFF"/>
        <color rgb="FF63BE7B"/>
      </colorScale>
    </cfRule>
  </conditionalFormatting>
  <conditionalFormatting sqref="G31">
    <cfRule type="colorScale" priority="10">
      <colorScale>
        <cfvo type="min"/>
        <cfvo type="max"/>
        <color rgb="FF63BE7B"/>
        <color rgb="FFFCFCFF"/>
      </colorScale>
    </cfRule>
  </conditionalFormatting>
  <conditionalFormatting sqref="H3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1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2">
    <cfRule type="colorScale" priority="7">
      <colorScale>
        <cfvo type="min"/>
        <cfvo type="max"/>
        <color rgb="FFFCFCFF"/>
        <color rgb="FF63BE7B"/>
      </colorScale>
    </cfRule>
  </conditionalFormatting>
  <conditionalFormatting sqref="I32">
    <cfRule type="colorScale" priority="6">
      <colorScale>
        <cfvo type="min"/>
        <cfvo type="max"/>
        <color rgb="FFFCFCFF"/>
        <color rgb="FF63BE7B"/>
      </colorScale>
    </cfRule>
  </conditionalFormatting>
  <conditionalFormatting sqref="G32">
    <cfRule type="colorScale" priority="5">
      <colorScale>
        <cfvo type="min"/>
        <cfvo type="max"/>
        <color rgb="FF63BE7B"/>
        <color rgb="FFFCFCFF"/>
      </colorScale>
    </cfRule>
  </conditionalFormatting>
  <conditionalFormatting sqref="I33">
    <cfRule type="colorScale" priority="4">
      <colorScale>
        <cfvo type="min"/>
        <cfvo type="max"/>
        <color rgb="FFFCFCFF"/>
        <color rgb="FF63BE7B"/>
      </colorScale>
    </cfRule>
  </conditionalFormatting>
  <conditionalFormatting sqref="G34:G36">
    <cfRule type="colorScale" priority="3">
      <colorScale>
        <cfvo type="min"/>
        <cfvo type="max"/>
        <color rgb="FF63BE7B"/>
        <color rgb="FFFCFCFF"/>
      </colorScale>
    </cfRule>
  </conditionalFormatting>
  <conditionalFormatting sqref="H34:H36">
    <cfRule type="colorScale" priority="2">
      <colorScale>
        <cfvo type="min"/>
        <cfvo type="max"/>
        <color rgb="FF63BE7B"/>
        <color rgb="FFFCFCFF"/>
      </colorScale>
    </cfRule>
  </conditionalFormatting>
  <conditionalFormatting sqref="I34:I3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60067E1C-591D-42A6-8DEF-285982ADF366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2026-04-23T15:40:29Z</dcterms:modified>
</cp:coreProperties>
</file>