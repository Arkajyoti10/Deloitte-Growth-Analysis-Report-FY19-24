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1-23)/"/>
    </mc:Choice>
  </mc:AlternateContent>
  <xr:revisionPtr revIDLastSave="292" documentId="11_F25DC773A252ABDACC10483CE91C4E9C5BDE58F1" xr6:coauthVersionLast="47" xr6:coauthVersionMax="47" xr10:uidLastSave="{A5381B7B-0241-49ED-8D47-1979838F101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" i="1" l="1"/>
  <c r="G80" i="1"/>
  <c r="G81" i="1"/>
  <c r="H76" i="1"/>
  <c r="H77" i="1"/>
  <c r="I74" i="1"/>
  <c r="I73" i="1"/>
  <c r="H73" i="1"/>
  <c r="H74" i="1"/>
  <c r="G64" i="1"/>
  <c r="G65" i="1"/>
  <c r="G66" i="1"/>
  <c r="G67" i="1"/>
  <c r="G68" i="1"/>
  <c r="G69" i="1"/>
  <c r="G70" i="1"/>
  <c r="G71" i="1"/>
  <c r="G46" i="1"/>
  <c r="G37" i="1"/>
  <c r="G27" i="1"/>
  <c r="G25" i="1"/>
  <c r="H12" i="1"/>
  <c r="H13" i="1"/>
  <c r="G12" i="1"/>
  <c r="G13" i="1"/>
  <c r="H81" i="1"/>
  <c r="I81" i="1" s="1"/>
  <c r="H80" i="1"/>
  <c r="I80" i="1" s="1"/>
  <c r="H79" i="1"/>
  <c r="I79" i="1" s="1"/>
  <c r="I77" i="1"/>
  <c r="I76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H25" i="1"/>
  <c r="I25" i="1" s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3" i="1"/>
  <c r="I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<sst xmlns="http://schemas.openxmlformats.org/spreadsheetml/2006/main" count="107" uniqueCount="82">
  <si>
    <t>METRIC</t>
  </si>
  <si>
    <t>CATEGORY</t>
  </si>
  <si>
    <t>FY21</t>
  </si>
  <si>
    <t>FY22</t>
  </si>
  <si>
    <t xml:space="preserve">YERALY TRENDS </t>
  </si>
  <si>
    <t>CAGR</t>
  </si>
  <si>
    <t>Learning and Development</t>
  </si>
  <si>
    <t>Learning &amp; development spend</t>
  </si>
  <si>
    <t>Learning &amp; development hours</t>
  </si>
  <si>
    <t>Promotion, Recruitment &amp; Attrition</t>
  </si>
  <si>
    <t>Number of promotions across business</t>
  </si>
  <si>
    <t>Number of partners &amp; directors promotion</t>
  </si>
  <si>
    <t>Standard voluntary attrition rate</t>
  </si>
  <si>
    <t>Number of experienced hires</t>
  </si>
  <si>
    <t>% female experienced hires</t>
  </si>
  <si>
    <t>% ethnic minority experienced hires</t>
  </si>
  <si>
    <t>Number of entry-level hires (graduates, school leavers and interns)</t>
  </si>
  <si>
    <t>% female entry-level hires</t>
  </si>
  <si>
    <t>NA</t>
  </si>
  <si>
    <t>% ethnic minority entry-level hires</t>
  </si>
  <si>
    <t>Gender (% female)</t>
  </si>
  <si>
    <t>Partner</t>
  </si>
  <si>
    <t>Director</t>
  </si>
  <si>
    <t>Senior Manager</t>
  </si>
  <si>
    <t>Manager</t>
  </si>
  <si>
    <t>Consultant</t>
  </si>
  <si>
    <t>Associate/Senior associate</t>
  </si>
  <si>
    <t>Employees</t>
  </si>
  <si>
    <t>Employees &amp; Partners</t>
  </si>
  <si>
    <t>UK Executive</t>
  </si>
  <si>
    <t>UK Oversight Board (including INEs)</t>
  </si>
  <si>
    <t>Audit Governanace Board</t>
  </si>
  <si>
    <t>Gender Pay Gap</t>
  </si>
  <si>
    <t>Gender pay gap using mean hourly pay</t>
  </si>
  <si>
    <t>Gender pay gap using median hourly pay</t>
  </si>
  <si>
    <t>Average mean gender pay gap within grade pools</t>
  </si>
  <si>
    <t>Gender bonus gap using mean bonus</t>
  </si>
  <si>
    <t>Gender bonus gap using median bonus</t>
  </si>
  <si>
    <t>Equity partner gap using mean hourly pay</t>
  </si>
  <si>
    <t>Equity partner gap using median hourly pay</t>
  </si>
  <si>
    <t>Total earnings gap using mean hourly pay</t>
  </si>
  <si>
    <t>Total earnings gap using median hourly pay</t>
  </si>
  <si>
    <t>Ethnicity - % ethnic minority (excluding Black)</t>
  </si>
  <si>
    <t>Ethnicity Pay Gap</t>
  </si>
  <si>
    <t>Ethnicity pay gap using mean hourly pay</t>
  </si>
  <si>
    <t>Ethnicity pay gap using median hourly pay</t>
  </si>
  <si>
    <t>Ethnicity pay gap using mean bonus</t>
  </si>
  <si>
    <t>Ethnicity pay gap using median bonus</t>
  </si>
  <si>
    <t>Equity partner pay gap using mean hourly pay</t>
  </si>
  <si>
    <t>Equity partner pay gap using median hourly pay</t>
  </si>
  <si>
    <t>Ethnicity - % Black</t>
  </si>
  <si>
    <t>Black Pay Gap</t>
  </si>
  <si>
    <t>Black pay gap using mean hourly pay</t>
  </si>
  <si>
    <t>Black pay gap using median hourly pay</t>
  </si>
  <si>
    <t>Black pay gap using mean bonus</t>
  </si>
  <si>
    <t>Black pay gap using median bonus</t>
  </si>
  <si>
    <t>Black equity partner pay gap using mean hourly pay</t>
  </si>
  <si>
    <t>Black equity partner pay gap using median hourly pay</t>
  </si>
  <si>
    <t>Black total earnings pay gap using mean hourly pay</t>
  </si>
  <si>
    <t>Black total earnings pay gap using median hourly pay</t>
  </si>
  <si>
    <t>Disability</t>
  </si>
  <si>
    <t>% disabled partners</t>
  </si>
  <si>
    <t>% disabled employees</t>
  </si>
  <si>
    <t>Sexual Orientation</t>
  </si>
  <si>
    <t>LGBTQ+ partners</t>
  </si>
  <si>
    <t>LGBTQ+ employees</t>
  </si>
  <si>
    <t>CEO to Employee Pay Ratio</t>
  </si>
  <si>
    <t>25th percentile</t>
  </si>
  <si>
    <t>83:1</t>
  </si>
  <si>
    <t>98:1</t>
  </si>
  <si>
    <t>Median</t>
  </si>
  <si>
    <t>53:1</t>
  </si>
  <si>
    <t>62:1</t>
  </si>
  <si>
    <t>75th percentile</t>
  </si>
  <si>
    <t>34:1</t>
  </si>
  <si>
    <t>40:1</t>
  </si>
  <si>
    <t>FY23</t>
  </si>
  <si>
    <t xml:space="preserve">YoY (21-22) </t>
  </si>
  <si>
    <t>YoY (22-23)</t>
  </si>
  <si>
    <t>100:1</t>
  </si>
  <si>
    <t>61:1</t>
  </si>
  <si>
    <t>39:1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</si>
</sst>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9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2" fontId="0" fillId="0" borderId="0" xfId="0" quotePrefix="1" applyNumberFormat="1" applyAlignment="1">
      <alignment horizontal="right"/>
    </xf>
    <xf numFmtId="4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9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36CAF-9020-4748-9703-049CD384CFCE}" name="Table1" displayName="Table1" ref="A1:I81" totalsRowShown="0" headerRowDxfId="3">
  <autoFilter ref="A1:I81" xr:uid="{8E236CAF-9020-4748-9703-049CD384CFCE}"/>
  <tableColumns count="9">
    <tableColumn id="1" xr3:uid="{EBA537FC-93B8-4040-AA85-B0C7276157CF}" name="METRIC"/>
    <tableColumn id="2" xr3:uid="{448BE4AC-DDC6-4D77-A55F-74DB187AAD70}" name="CATEGORY"/>
    <tableColumn id="3" xr3:uid="{E66A93FE-05F6-4C88-81B3-2F857A7F4119}" name="FY21"/>
    <tableColumn id="4" xr3:uid="{4B411EE8-A706-4ACE-869D-C20A67E603D8}" name="FY22"/>
    <tableColumn id="5" xr3:uid="{26C9DB15-AAF1-4F57-910E-36693B404FC4}" name="FY23"/>
    <tableColumn id="6" xr3:uid="{797C8EA5-131F-43AF-AEDA-61DA754A2CC3}" name="YERALY TRENDS "/>
    <tableColumn id="7" xr3:uid="{97266F1E-DDE8-4D35-8C14-A68BE4527D20}" name="YoY (21-22) " dataDxfId="2" dataCellStyle="Percent">
      <calculatedColumnFormula>(Table1[[#This Row],[FY22]]-Table1[[#This Row],[FY21]])/Table1[[#This Row],[FY21]]</calculatedColumnFormula>
    </tableColumn>
    <tableColumn id="8" xr3:uid="{E96BAB36-4F6E-400C-98AD-FDF92DFE03A9}" name="YoY (22-23)" dataDxfId="1" dataCellStyle="Percent">
      <calculatedColumnFormula>(Table1[[#This Row],[FY23]]-Table1[[#This Row],[FY22]])/Table1[[#This Row],[FY22]]</calculatedColumnFormula>
    </tableColumn>
    <tableColumn id="9" xr3:uid="{E4F01593-31AA-4B68-B172-8B220F919193}" name="CAGR" dataDxfId="0" dataCellStyle="Percent">
      <calculatedColumnFormula>((Table1[[#This Row],[FY23]]/Table1[[#This Row],[FY21]])^0.5)-1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73" workbookViewId="0">
      <selection activeCell="H83" sqref="H83"/>
    </sheetView>
  </sheetViews>
  <sheetFormatPr defaultRowHeight="14.4" x14ac:dyDescent="0.3"/>
  <cols>
    <col min="1" max="1" width="40.21875" customWidth="1"/>
    <col min="2" max="2" width="55.33203125" customWidth="1"/>
    <col min="3" max="4" width="14.33203125" customWidth="1"/>
    <col min="5" max="5" width="13.44140625" customWidth="1"/>
    <col min="6" max="6" width="19.44140625" customWidth="1"/>
    <col min="7" max="7" width="16" style="20" customWidth="1"/>
    <col min="8" max="8" width="16.77734375" style="20" customWidth="1"/>
    <col min="9" max="9" width="12.88671875" style="20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4</v>
      </c>
      <c r="G1" s="2" t="s">
        <v>77</v>
      </c>
      <c r="H1" s="2" t="s">
        <v>78</v>
      </c>
      <c r="I1" s="2" t="s">
        <v>5</v>
      </c>
    </row>
    <row r="2" spans="1:9" x14ac:dyDescent="0.3">
      <c r="A2" s="3" t="s">
        <v>6</v>
      </c>
      <c r="B2" t="s">
        <v>7</v>
      </c>
      <c r="C2" s="4">
        <v>29500000</v>
      </c>
      <c r="D2" s="4">
        <v>33400000</v>
      </c>
      <c r="E2" s="4">
        <v>53900000</v>
      </c>
      <c r="G2" s="18">
        <f>(Table1[[#This Row],[FY22]]-Table1[[#This Row],[FY21]])/Table1[[#This Row],[FY21]]</f>
        <v>0.13220338983050847</v>
      </c>
      <c r="H2" s="18">
        <f>(Table1[[#This Row],[FY23]]-Table1[[#This Row],[FY22]])/Table1[[#This Row],[FY22]]</f>
        <v>0.61377245508982037</v>
      </c>
      <c r="I2" s="18">
        <f>((Table1[[#This Row],[FY23]]/Table1[[#This Row],[FY21]])^0.5)-1</f>
        <v>0.35170952651366516</v>
      </c>
    </row>
    <row r="3" spans="1:9" x14ac:dyDescent="0.3">
      <c r="B3" t="s">
        <v>8</v>
      </c>
      <c r="C3" s="5">
        <v>442554</v>
      </c>
      <c r="D3" s="5">
        <v>542115</v>
      </c>
      <c r="E3" s="5">
        <v>736951</v>
      </c>
      <c r="G3" s="18">
        <f>(Table1[[#This Row],[FY22]]-Table1[[#This Row],[FY21]])/Table1[[#This Row],[FY21]]</f>
        <v>0.22496915630634906</v>
      </c>
      <c r="H3" s="18">
        <f>(Table1[[#This Row],[FY23]]-Table1[[#This Row],[FY22]])/Table1[[#This Row],[FY22]]</f>
        <v>0.35939975835385479</v>
      </c>
      <c r="I3" s="18">
        <f>((Table1[[#This Row],[FY23]]/Table1[[#This Row],[FY21]])^0.5)-1</f>
        <v>0.29043511075674644</v>
      </c>
    </row>
    <row r="4" spans="1:9" x14ac:dyDescent="0.3">
      <c r="C4" s="5"/>
      <c r="D4" s="5"/>
      <c r="E4" s="5"/>
      <c r="G4" s="18"/>
      <c r="H4" s="18"/>
      <c r="I4" s="18"/>
    </row>
    <row r="5" spans="1:9" x14ac:dyDescent="0.3">
      <c r="A5" s="3" t="s">
        <v>9</v>
      </c>
      <c r="B5" t="s">
        <v>10</v>
      </c>
      <c r="C5" s="5">
        <v>5435</v>
      </c>
      <c r="D5" s="5">
        <v>6852</v>
      </c>
      <c r="E5" s="5">
        <v>7377</v>
      </c>
      <c r="G5" s="18">
        <f>(Table1[[#This Row],[FY22]]-Table1[[#This Row],[FY21]])/Table1[[#This Row],[FY21]]</f>
        <v>0.26071757129714812</v>
      </c>
      <c r="H5" s="18">
        <f>(Table1[[#This Row],[FY23]]-Table1[[#This Row],[FY22]])/Table1[[#This Row],[FY22]]</f>
        <v>7.6619964973730303E-2</v>
      </c>
      <c r="I5" s="18">
        <f>((Table1[[#This Row],[FY23]]/Table1[[#This Row],[FY21]])^0.5)-1</f>
        <v>0.16503807124561476</v>
      </c>
    </row>
    <row r="6" spans="1:9" x14ac:dyDescent="0.3">
      <c r="B6" t="s">
        <v>11</v>
      </c>
      <c r="C6">
        <v>289</v>
      </c>
      <c r="D6">
        <v>349</v>
      </c>
      <c r="E6">
        <v>501</v>
      </c>
      <c r="G6" s="18">
        <f>(Table1[[#This Row],[FY22]]-Table1[[#This Row],[FY21]])/Table1[[#This Row],[FY21]]</f>
        <v>0.20761245674740483</v>
      </c>
      <c r="H6" s="18">
        <f>(Table1[[#This Row],[FY23]]-Table1[[#This Row],[FY22]])/Table1[[#This Row],[FY22]]</f>
        <v>0.4355300859598854</v>
      </c>
      <c r="I6" s="18">
        <f>((Table1[[#This Row],[FY23]]/Table1[[#This Row],[FY21]])^0.5)-1</f>
        <v>0.31664878150584652</v>
      </c>
    </row>
    <row r="7" spans="1:9" x14ac:dyDescent="0.3">
      <c r="B7" t="s">
        <v>12</v>
      </c>
      <c r="C7" s="6">
        <v>9.7000000000000003E-2</v>
      </c>
      <c r="D7" s="6">
        <v>0.157</v>
      </c>
      <c r="E7" s="6">
        <v>0.111</v>
      </c>
      <c r="G7" s="18">
        <f>(Table1[[#This Row],[FY22]]-Table1[[#This Row],[FY21]])/Table1[[#This Row],[FY21]]</f>
        <v>0.61855670103092775</v>
      </c>
      <c r="H7" s="18">
        <f>(Table1[[#This Row],[FY23]]-Table1[[#This Row],[FY22]])/Table1[[#This Row],[FY22]]</f>
        <v>-0.2929936305732484</v>
      </c>
      <c r="I7" s="18">
        <f>((Table1[[#This Row],[FY23]]/Table1[[#This Row],[FY21]])^0.5)-1</f>
        <v>6.9733563513465047E-2</v>
      </c>
    </row>
    <row r="8" spans="1:9" x14ac:dyDescent="0.3">
      <c r="B8" t="s">
        <v>13</v>
      </c>
      <c r="C8" s="5">
        <v>2201</v>
      </c>
      <c r="D8" s="5">
        <v>4652</v>
      </c>
      <c r="E8" s="5">
        <v>4109</v>
      </c>
      <c r="G8" s="18">
        <f>(Table1[[#This Row],[FY22]]-Table1[[#This Row],[FY21]])/Table1[[#This Row],[FY21]]</f>
        <v>1.113584734211722</v>
      </c>
      <c r="H8" s="18">
        <f>(Table1[[#This Row],[FY23]]-Table1[[#This Row],[FY22]])/Table1[[#This Row],[FY22]]</f>
        <v>-0.11672398968185727</v>
      </c>
      <c r="I8" s="18">
        <f>((Table1[[#This Row],[FY23]]/Table1[[#This Row],[FY21]])^0.5)-1</f>
        <v>0.36633769307000463</v>
      </c>
    </row>
    <row r="9" spans="1:9" x14ac:dyDescent="0.3">
      <c r="B9" t="s">
        <v>14</v>
      </c>
      <c r="C9" s="6">
        <v>0.39800000000000002</v>
      </c>
      <c r="D9" s="6">
        <v>0.442</v>
      </c>
      <c r="E9" s="6">
        <v>0.48299999999999998</v>
      </c>
      <c r="G9" s="18">
        <f>(Table1[[#This Row],[FY22]]-Table1[[#This Row],[FY21]])/Table1[[#This Row],[FY21]]</f>
        <v>0.11055276381909543</v>
      </c>
      <c r="H9" s="18">
        <f>(Table1[[#This Row],[FY23]]-Table1[[#This Row],[FY22]])/Table1[[#This Row],[FY22]]</f>
        <v>9.2760180995475075E-2</v>
      </c>
      <c r="I9" s="18">
        <f>((Table1[[#This Row],[FY23]]/Table1[[#This Row],[FY21]])^0.5)-1</f>
        <v>0.10162055136783832</v>
      </c>
    </row>
    <row r="10" spans="1:9" x14ac:dyDescent="0.3">
      <c r="B10" t="s">
        <v>15</v>
      </c>
      <c r="C10" s="6">
        <v>0.23699999999999999</v>
      </c>
      <c r="D10" s="7">
        <v>0.34</v>
      </c>
      <c r="E10" s="7">
        <v>0.38400000000000001</v>
      </c>
      <c r="G10" s="18">
        <f>(Table1[[#This Row],[FY22]]-Table1[[#This Row],[FY21]])/Table1[[#This Row],[FY21]]</f>
        <v>0.43459915611814365</v>
      </c>
      <c r="H10" s="18">
        <f>(Table1[[#This Row],[FY23]]-Table1[[#This Row],[FY22]])/Table1[[#This Row],[FY22]]</f>
        <v>0.12941176470588228</v>
      </c>
      <c r="I10" s="18">
        <f>((Table1[[#This Row],[FY23]]/Table1[[#This Row],[FY21]])^0.5)-1</f>
        <v>0.27289165468116816</v>
      </c>
    </row>
    <row r="11" spans="1:9" x14ac:dyDescent="0.3">
      <c r="B11" t="s">
        <v>16</v>
      </c>
      <c r="C11" s="5">
        <v>1563</v>
      </c>
      <c r="D11" s="5">
        <v>2127</v>
      </c>
      <c r="E11" s="5">
        <v>2767</v>
      </c>
      <c r="G11" s="18">
        <f>(Table1[[#This Row],[FY22]]-Table1[[#This Row],[FY21]])/Table1[[#This Row],[FY21]]</f>
        <v>0.36084452975047987</v>
      </c>
      <c r="H11" s="18">
        <f>(Table1[[#This Row],[FY23]]-Table1[[#This Row],[FY22]])/Table1[[#This Row],[FY22]]</f>
        <v>0.30089327691584389</v>
      </c>
      <c r="I11" s="18">
        <f>((Table1[[#This Row],[FY23]]/Table1[[#This Row],[FY21]])^0.5)-1</f>
        <v>0.3305312847430919</v>
      </c>
    </row>
    <row r="12" spans="1:9" x14ac:dyDescent="0.3">
      <c r="B12" t="s">
        <v>17</v>
      </c>
      <c r="C12" s="13">
        <v>0.46500000000000002</v>
      </c>
      <c r="D12" s="13">
        <v>0.46200000000000002</v>
      </c>
      <c r="E12" s="6">
        <v>0.48099999999999998</v>
      </c>
      <c r="G12" s="18">
        <f>(Table1[[#This Row],[FY22]]-Table1[[#This Row],[FY21]])/Table1[[#This Row],[FY21]]</f>
        <v>-6.4516129032258117E-3</v>
      </c>
      <c r="H12" s="18">
        <f>(Table1[[#This Row],[FY23]]-Table1[[#This Row],[FY22]])/Table1[[#This Row],[FY22]]</f>
        <v>4.1125541125541037E-2</v>
      </c>
      <c r="I12" s="19">
        <f>Table1[[#This Row],[FY23]]</f>
        <v>0.48099999999999998</v>
      </c>
    </row>
    <row r="13" spans="1:9" x14ac:dyDescent="0.3">
      <c r="B13" t="s">
        <v>19</v>
      </c>
      <c r="C13" s="13">
        <v>0.187</v>
      </c>
      <c r="D13" s="13">
        <v>0.46</v>
      </c>
      <c r="E13" s="6">
        <v>0.374</v>
      </c>
      <c r="G13" s="18">
        <f>(Table1[[#This Row],[FY22]]-Table1[[#This Row],[FY21]])/Table1[[#This Row],[FY21]]</f>
        <v>1.4598930481283423</v>
      </c>
      <c r="H13" s="18">
        <f>(Table1[[#This Row],[FY23]]-Table1[[#This Row],[FY22]])/Table1[[#This Row],[FY22]]</f>
        <v>-0.18695652173913047</v>
      </c>
      <c r="I13" s="18">
        <f>Table1[[#This Row],[FY23]]</f>
        <v>0.374</v>
      </c>
    </row>
    <row r="14" spans="1:9" x14ac:dyDescent="0.3">
      <c r="C14" s="8"/>
      <c r="D14" s="8"/>
      <c r="E14" s="7"/>
      <c r="G14" s="18"/>
      <c r="H14" s="18"/>
      <c r="I14" s="18"/>
    </row>
    <row r="15" spans="1:9" x14ac:dyDescent="0.3">
      <c r="A15" s="3" t="s">
        <v>20</v>
      </c>
      <c r="B15" t="s">
        <v>21</v>
      </c>
      <c r="C15" s="6">
        <v>0.245</v>
      </c>
      <c r="D15" s="6">
        <v>0.252</v>
      </c>
      <c r="E15" s="6">
        <v>0.27700000000000002</v>
      </c>
      <c r="G15" s="18">
        <f>(Table1[[#This Row],[FY22]]-Table1[[#This Row],[FY21]])/Table1[[#This Row],[FY21]]</f>
        <v>2.8571428571428598E-2</v>
      </c>
      <c r="H15" s="18">
        <f>(Table1[[#This Row],[FY23]]-Table1[[#This Row],[FY22]])/Table1[[#This Row],[FY22]]</f>
        <v>9.9206349206349298E-2</v>
      </c>
      <c r="I15" s="18">
        <f>((Table1[[#This Row],[FY23]]/Table1[[#This Row],[FY21]])^0.5)-1</f>
        <v>6.3302518053051093E-2</v>
      </c>
    </row>
    <row r="16" spans="1:9" x14ac:dyDescent="0.3">
      <c r="B16" t="s">
        <v>22</v>
      </c>
      <c r="C16" s="6">
        <v>0.313</v>
      </c>
      <c r="D16" s="6">
        <v>0.34599999999999997</v>
      </c>
      <c r="E16" s="6">
        <v>0.36299999999999999</v>
      </c>
      <c r="G16" s="18">
        <f>(Table1[[#This Row],[FY22]]-Table1[[#This Row],[FY21]])/Table1[[#This Row],[FY21]]</f>
        <v>0.10543130990415327</v>
      </c>
      <c r="H16" s="18">
        <f>(Table1[[#This Row],[FY23]]-Table1[[#This Row],[FY22]])/Table1[[#This Row],[FY22]]</f>
        <v>4.9132947976878658E-2</v>
      </c>
      <c r="I16" s="18">
        <f>((Table1[[#This Row],[FY23]]/Table1[[#This Row],[FY21]])^0.5)-1</f>
        <v>7.6914299721982049E-2</v>
      </c>
    </row>
    <row r="17" spans="1:9" x14ac:dyDescent="0.3">
      <c r="B17" t="s">
        <v>23</v>
      </c>
      <c r="C17" s="6">
        <v>0.42399999999999999</v>
      </c>
      <c r="D17" s="6">
        <v>0.42799999999999999</v>
      </c>
      <c r="E17" s="6">
        <v>0.42099999999999999</v>
      </c>
      <c r="G17" s="18">
        <f>(Table1[[#This Row],[FY22]]-Table1[[#This Row],[FY21]])/Table1[[#This Row],[FY21]]</f>
        <v>9.4339622641509517E-3</v>
      </c>
      <c r="H17" s="18">
        <f>(Table1[[#This Row],[FY23]]-Table1[[#This Row],[FY22]])/Table1[[#This Row],[FY22]]</f>
        <v>-1.6355140186915904E-2</v>
      </c>
      <c r="I17" s="18">
        <f>((Table1[[#This Row],[FY23]]/Table1[[#This Row],[FY21]])^0.5)-1</f>
        <v>-3.5440158733117677E-3</v>
      </c>
    </row>
    <row r="18" spans="1:9" x14ac:dyDescent="0.3">
      <c r="B18" t="s">
        <v>24</v>
      </c>
      <c r="C18" s="7">
        <v>0.43</v>
      </c>
      <c r="D18" s="6">
        <v>0.432</v>
      </c>
      <c r="E18" s="6">
        <v>0.47199999999999998</v>
      </c>
      <c r="G18" s="18">
        <f>(Table1[[#This Row],[FY22]]-Table1[[#This Row],[FY21]])/Table1[[#This Row],[FY21]]</f>
        <v>4.6511627906976787E-3</v>
      </c>
      <c r="H18" s="18">
        <f>(Table1[[#This Row],[FY23]]-Table1[[#This Row],[FY22]])/Table1[[#This Row],[FY22]]</f>
        <v>9.2592592592592546E-2</v>
      </c>
      <c r="I18" s="18">
        <f>((Table1[[#This Row],[FY23]]/Table1[[#This Row],[FY21]])^0.5)-1</f>
        <v>4.7699584138817475E-2</v>
      </c>
    </row>
    <row r="19" spans="1:9" x14ac:dyDescent="0.3">
      <c r="B19" t="s">
        <v>25</v>
      </c>
      <c r="C19" s="6">
        <v>0.45400000000000001</v>
      </c>
      <c r="D19" s="6">
        <v>0.47199999999999998</v>
      </c>
      <c r="E19" s="6">
        <v>0.48499999999999999</v>
      </c>
      <c r="G19" s="18">
        <f>(Table1[[#This Row],[FY22]]-Table1[[#This Row],[FY21]])/Table1[[#This Row],[FY21]]</f>
        <v>3.9647577092510926E-2</v>
      </c>
      <c r="H19" s="18">
        <f>(Table1[[#This Row],[FY23]]-Table1[[#This Row],[FY22]])/Table1[[#This Row],[FY22]]</f>
        <v>2.7542372881355959E-2</v>
      </c>
      <c r="I19" s="18">
        <f>((Table1[[#This Row],[FY23]]/Table1[[#This Row],[FY21]])^0.5)-1</f>
        <v>3.3577253196872103E-2</v>
      </c>
    </row>
    <row r="20" spans="1:9" x14ac:dyDescent="0.3">
      <c r="B20" t="s">
        <v>26</v>
      </c>
      <c r="C20" s="6">
        <v>0.52900000000000003</v>
      </c>
      <c r="D20" s="6">
        <v>0.52400000000000002</v>
      </c>
      <c r="E20" s="6">
        <v>0.53</v>
      </c>
      <c r="G20" s="18">
        <f>(Table1[[#This Row],[FY22]]-Table1[[#This Row],[FY21]])/Table1[[#This Row],[FY21]]</f>
        <v>-9.4517958412098386E-3</v>
      </c>
      <c r="H20" s="18">
        <f>(Table1[[#This Row],[FY23]]-Table1[[#This Row],[FY22]])/Table1[[#This Row],[FY22]]</f>
        <v>1.1450381679389323E-2</v>
      </c>
      <c r="I20" s="19">
        <f>((Table1[[#This Row],[FY23]]/Table1[[#This Row],[FY21]])^0.5)-1</f>
        <v>9.4473332359457096E-4</v>
      </c>
    </row>
    <row r="21" spans="1:9" x14ac:dyDescent="0.3">
      <c r="B21" s="3" t="s">
        <v>27</v>
      </c>
      <c r="C21" s="11">
        <v>0.45100000000000001</v>
      </c>
      <c r="D21" s="11">
        <v>0.45600000000000002</v>
      </c>
      <c r="E21" s="11">
        <v>0.46899999999999997</v>
      </c>
      <c r="G21" s="19">
        <f>(Table1[[#This Row],[FY22]]-Table1[[#This Row],[FY21]])/Table1[[#This Row],[FY21]]</f>
        <v>1.1086474501108657E-2</v>
      </c>
      <c r="H21" s="18">
        <f>(Table1[[#This Row],[FY23]]-Table1[[#This Row],[FY22]])/Table1[[#This Row],[FY22]]</f>
        <v>2.8508771929824463E-2</v>
      </c>
      <c r="I21" s="18">
        <f>((Table1[[#This Row],[FY23]]/Table1[[#This Row],[FY21]])^0.5)-1</f>
        <v>1.9760417060787461E-2</v>
      </c>
    </row>
    <row r="22" spans="1:9" x14ac:dyDescent="0.3">
      <c r="B22" s="3" t="s">
        <v>28</v>
      </c>
      <c r="C22" s="11">
        <v>0.44</v>
      </c>
      <c r="D22" s="11">
        <v>0.44600000000000001</v>
      </c>
      <c r="E22" s="11">
        <v>0.46</v>
      </c>
      <c r="G22" s="19">
        <f>(Table1[[#This Row],[FY22]]-Table1[[#This Row],[FY21]])/Table1[[#This Row],[FY21]]</f>
        <v>1.3636363636363648E-2</v>
      </c>
      <c r="H22" s="18">
        <f>(Table1[[#This Row],[FY23]]-Table1[[#This Row],[FY22]])/Table1[[#This Row],[FY22]]</f>
        <v>3.139013452914801E-2</v>
      </c>
      <c r="I22" s="18">
        <f>((Table1[[#This Row],[FY23]]/Table1[[#This Row],[FY21]])^0.5)-1</f>
        <v>2.2474716291090102E-2</v>
      </c>
    </row>
    <row r="23" spans="1:9" x14ac:dyDescent="0.3">
      <c r="B23" t="s">
        <v>29</v>
      </c>
      <c r="C23" s="7">
        <v>0.38</v>
      </c>
      <c r="D23" s="7">
        <v>0.38</v>
      </c>
      <c r="E23" s="7">
        <v>0.28999999999999998</v>
      </c>
      <c r="G23" s="18">
        <f>(Table1[[#This Row],[FY22]]-Table1[[#This Row],[FY21]])/Table1[[#This Row],[FY21]]</f>
        <v>0</v>
      </c>
      <c r="H23" s="18">
        <f>(Table1[[#This Row],[FY23]]-Table1[[#This Row],[FY22]])/Table1[[#This Row],[FY22]]</f>
        <v>-0.23684210526315796</v>
      </c>
      <c r="I23" s="18">
        <f>((Table1[[#This Row],[FY23]]/Table1[[#This Row],[FY21]])^0.5)-1</f>
        <v>-0.12641091196327203</v>
      </c>
    </row>
    <row r="24" spans="1:9" x14ac:dyDescent="0.3">
      <c r="B24" t="s">
        <v>30</v>
      </c>
      <c r="C24" s="7">
        <v>0.5</v>
      </c>
      <c r="D24" s="7">
        <v>0.5</v>
      </c>
      <c r="E24" s="7">
        <v>0.5</v>
      </c>
      <c r="G24" s="18">
        <f>(Table1[[#This Row],[FY22]]-Table1[[#This Row],[FY21]])/Table1[[#This Row],[FY21]]</f>
        <v>0</v>
      </c>
      <c r="H24" s="18">
        <f>(Table1[[#This Row],[FY23]]-Table1[[#This Row],[FY22]])/Table1[[#This Row],[FY22]]</f>
        <v>0</v>
      </c>
      <c r="I24" s="18">
        <f>((Table1[[#This Row],[FY23]]/Table1[[#This Row],[FY21]])^0.5)-1</f>
        <v>0</v>
      </c>
    </row>
    <row r="25" spans="1:9" x14ac:dyDescent="0.3">
      <c r="B25" t="s">
        <v>31</v>
      </c>
      <c r="C25" s="7">
        <v>0.43</v>
      </c>
      <c r="D25" s="7">
        <v>0.43</v>
      </c>
      <c r="E25" s="7">
        <v>0.43</v>
      </c>
      <c r="G25" s="18">
        <f>(Table1[[#This Row],[FY22]]-Table1[[#This Row],[FY21]])/Table1[[#This Row],[FY21]]</f>
        <v>0</v>
      </c>
      <c r="H25" s="18">
        <f>(Table1[[#This Row],[FY23]]-Table1[[#This Row],[FY22]])/Table1[[#This Row],[FY22]]</f>
        <v>0</v>
      </c>
      <c r="I25" s="18">
        <f>Table1[[#This Row],[YoY (22-23)]]</f>
        <v>0</v>
      </c>
    </row>
    <row r="26" spans="1:9" x14ac:dyDescent="0.3">
      <c r="D26" s="7"/>
      <c r="E26" s="7"/>
      <c r="G26" s="18"/>
      <c r="H26" s="18"/>
      <c r="I26" s="18"/>
    </row>
    <row r="27" spans="1:9" x14ac:dyDescent="0.3">
      <c r="A27" s="3" t="s">
        <v>32</v>
      </c>
      <c r="B27" t="s">
        <v>33</v>
      </c>
      <c r="C27" s="6">
        <v>0.16200000000000001</v>
      </c>
      <c r="D27" s="6">
        <v>0.16700000000000001</v>
      </c>
      <c r="E27" s="6">
        <v>0.151</v>
      </c>
      <c r="G27" s="18">
        <f>(Table1[[#This Row],[FY22]]-Table1[[#This Row],[FY21]])/Table1[[#This Row],[FY21]]</f>
        <v>3.0864197530864224E-2</v>
      </c>
      <c r="H27" s="18">
        <f>(Table1[[#This Row],[FY23]]-Table1[[#This Row],[FY22]])/Table1[[#This Row],[FY22]]</f>
        <v>-9.5808383233533009E-2</v>
      </c>
      <c r="I27" s="18">
        <f>((Table1[[#This Row],[FY23]]/Table1[[#This Row],[FY21]])^0.5)-1</f>
        <v>-3.4547377945401858E-2</v>
      </c>
    </row>
    <row r="28" spans="1:9" x14ac:dyDescent="0.3">
      <c r="B28" t="s">
        <v>34</v>
      </c>
      <c r="C28" s="6">
        <v>0.13600000000000001</v>
      </c>
      <c r="D28" s="6">
        <v>0.16400000000000001</v>
      </c>
      <c r="E28" s="6">
        <v>0.17100000000000001</v>
      </c>
      <c r="G28" s="18">
        <f>(Table1[[#This Row],[FY22]]-Table1[[#This Row],[FY21]])/Table1[[#This Row],[FY21]]</f>
        <v>0.20588235294117643</v>
      </c>
      <c r="H28" s="18">
        <f>(Table1[[#This Row],[FY23]]-Table1[[#This Row],[FY22]])/Table1[[#This Row],[FY22]]</f>
        <v>4.2682926829268331E-2</v>
      </c>
      <c r="I28" s="18">
        <f>((Table1[[#This Row],[FY23]]/Table1[[#This Row],[FY21]])^0.5)-1</f>
        <v>0.12131750239460293</v>
      </c>
    </row>
    <row r="29" spans="1:9" x14ac:dyDescent="0.3">
      <c r="B29" t="s">
        <v>35</v>
      </c>
      <c r="C29" s="6">
        <v>2.4E-2</v>
      </c>
      <c r="D29" s="6">
        <v>2.5999999999999999E-2</v>
      </c>
      <c r="E29" s="6">
        <v>2.5000000000000001E-2</v>
      </c>
      <c r="G29" s="18">
        <f>(Table1[[#This Row],[FY22]]-Table1[[#This Row],[FY21]])/Table1[[#This Row],[FY21]]</f>
        <v>8.3333333333333259E-2</v>
      </c>
      <c r="H29" s="18">
        <f>(Table1[[#This Row],[FY23]]-Table1[[#This Row],[FY22]])/Table1[[#This Row],[FY22]]</f>
        <v>-3.8461538461538367E-2</v>
      </c>
      <c r="I29" s="18">
        <f>((Table1[[#This Row],[FY23]]/Table1[[#This Row],[FY21]])^0.5)-1</f>
        <v>2.0620726159657599E-2</v>
      </c>
    </row>
    <row r="30" spans="1:9" x14ac:dyDescent="0.3">
      <c r="B30" t="s">
        <v>36</v>
      </c>
      <c r="C30" s="6">
        <v>0.51600000000000001</v>
      </c>
      <c r="D30" s="6">
        <v>0.42599999999999999</v>
      </c>
      <c r="E30" s="6">
        <v>0.45700000000000002</v>
      </c>
      <c r="G30" s="18">
        <f>(Table1[[#This Row],[FY22]]-Table1[[#This Row],[FY21]])/Table1[[#This Row],[FY21]]</f>
        <v>-0.17441860465116282</v>
      </c>
      <c r="H30" s="18">
        <f>(Table1[[#This Row],[FY23]]-Table1[[#This Row],[FY22]])/Table1[[#This Row],[FY22]]</f>
        <v>7.2769953051643257E-2</v>
      </c>
      <c r="I30" s="18">
        <f>((Table1[[#This Row],[FY23]]/Table1[[#This Row],[FY21]])^0.5)-1</f>
        <v>-5.8905469823205214E-2</v>
      </c>
    </row>
    <row r="31" spans="1:9" x14ac:dyDescent="0.3">
      <c r="B31" t="s">
        <v>37</v>
      </c>
      <c r="C31" s="6">
        <v>0.33300000000000002</v>
      </c>
      <c r="D31" s="6">
        <v>0.311</v>
      </c>
      <c r="E31" s="6">
        <v>0.34699999999999998</v>
      </c>
      <c r="G31" s="18">
        <f>(Table1[[#This Row],[FY22]]-Table1[[#This Row],[FY21]])/Table1[[#This Row],[FY21]]</f>
        <v>-6.6066066066066118E-2</v>
      </c>
      <c r="H31" s="18">
        <f>(Table1[[#This Row],[FY23]]-Table1[[#This Row],[FY22]])/Table1[[#This Row],[FY22]]</f>
        <v>0.11575562700964623</v>
      </c>
      <c r="I31" s="18">
        <f>((Table1[[#This Row],[FY23]]/Table1[[#This Row],[FY21]])^0.5)-1</f>
        <v>2.0804605221803385E-2</v>
      </c>
    </row>
    <row r="32" spans="1:9" x14ac:dyDescent="0.3">
      <c r="B32" t="s">
        <v>38</v>
      </c>
      <c r="C32" s="7">
        <v>0.14000000000000001</v>
      </c>
      <c r="D32" s="6">
        <v>0.124</v>
      </c>
      <c r="E32" s="6">
        <v>0.109</v>
      </c>
      <c r="G32" s="18">
        <f>(Table1[[#This Row],[FY22]]-Table1[[#This Row],[FY21]])/Table1[[#This Row],[FY21]]</f>
        <v>-0.11428571428571438</v>
      </c>
      <c r="H32" s="18">
        <f>(Table1[[#This Row],[FY23]]-Table1[[#This Row],[FY22]])/Table1[[#This Row],[FY22]]</f>
        <v>-0.12096774193548386</v>
      </c>
      <c r="I32" s="18">
        <f>((Table1[[#This Row],[FY23]]/Table1[[#This Row],[FY21]])^0.5)-1</f>
        <v>-0.11763305333244234</v>
      </c>
    </row>
    <row r="33" spans="1:9" x14ac:dyDescent="0.3">
      <c r="B33" t="s">
        <v>39</v>
      </c>
      <c r="C33" s="6">
        <v>0.182</v>
      </c>
      <c r="D33" s="6">
        <v>0.154</v>
      </c>
      <c r="E33" s="6">
        <v>0.16700000000000001</v>
      </c>
      <c r="G33" s="18">
        <f>(Table1[[#This Row],[FY22]]-Table1[[#This Row],[FY21]])/Table1[[#This Row],[FY21]]</f>
        <v>-0.15384615384615383</v>
      </c>
      <c r="H33" s="18">
        <f>(Table1[[#This Row],[FY23]]-Table1[[#This Row],[FY22]])/Table1[[#This Row],[FY22]]</f>
        <v>8.4415584415584485E-2</v>
      </c>
      <c r="I33" s="18">
        <f>((Table1[[#This Row],[FY23]]/Table1[[#This Row],[FY21]])^0.5)-1</f>
        <v>-4.2094776304869685E-2</v>
      </c>
    </row>
    <row r="34" spans="1:9" x14ac:dyDescent="0.3">
      <c r="B34" s="3" t="s">
        <v>40</v>
      </c>
      <c r="C34" s="11">
        <v>0.32700000000000001</v>
      </c>
      <c r="D34" s="11">
        <v>0.34100000000000003</v>
      </c>
      <c r="E34" s="11">
        <v>0.307</v>
      </c>
      <c r="G34" s="18">
        <f>(Table1[[#This Row],[FY22]]-Table1[[#This Row],[FY21]])/Table1[[#This Row],[FY21]]</f>
        <v>4.2813455657492394E-2</v>
      </c>
      <c r="H34" s="18">
        <f>(Table1[[#This Row],[FY23]]-Table1[[#This Row],[FY22]])/Table1[[#This Row],[FY22]]</f>
        <v>-9.9706744868035269E-2</v>
      </c>
      <c r="I34" s="18">
        <f>((Table1[[#This Row],[FY23]]/Table1[[#This Row],[FY21]])^0.5)-1</f>
        <v>-3.1063510600773947E-2</v>
      </c>
    </row>
    <row r="35" spans="1:9" x14ac:dyDescent="0.3">
      <c r="B35" s="3" t="s">
        <v>41</v>
      </c>
      <c r="C35" s="11">
        <v>0.14799999999999999</v>
      </c>
      <c r="D35" s="11">
        <v>0.14199999999999999</v>
      </c>
      <c r="E35" s="11">
        <v>0.18</v>
      </c>
      <c r="G35" s="18">
        <f>(Table1[[#This Row],[FY22]]-Table1[[#This Row],[FY21]])/Table1[[#This Row],[FY21]]</f>
        <v>-4.0540540540540577E-2</v>
      </c>
      <c r="H35" s="18">
        <f>(Table1[[#This Row],[FY23]]-Table1[[#This Row],[FY22]])/Table1[[#This Row],[FY22]]</f>
        <v>0.26760563380281699</v>
      </c>
      <c r="I35" s="18">
        <f>((Table1[[#This Row],[FY23]]/Table1[[#This Row],[FY21]])^0.5)-1</f>
        <v>0.10282193314071164</v>
      </c>
    </row>
    <row r="36" spans="1:9" x14ac:dyDescent="0.3">
      <c r="B36" s="3"/>
      <c r="C36" s="12"/>
      <c r="D36" s="12"/>
      <c r="E36" s="12"/>
      <c r="G36" s="18"/>
      <c r="H36" s="18"/>
      <c r="I36" s="18"/>
    </row>
    <row r="37" spans="1:9" x14ac:dyDescent="0.3">
      <c r="A37" s="3" t="s">
        <v>42</v>
      </c>
      <c r="B37" t="s">
        <v>21</v>
      </c>
      <c r="C37" s="6">
        <v>5.7000000000000002E-2</v>
      </c>
      <c r="D37" s="6">
        <v>6.9000000000000006E-2</v>
      </c>
      <c r="E37" s="6">
        <v>8.2000000000000003E-2</v>
      </c>
      <c r="G37" s="18">
        <f>(Table1[[#This Row],[FY22]]-Table1[[#This Row],[FY21]])/Table1[[#This Row],[FY21]]</f>
        <v>0.21052631578947373</v>
      </c>
      <c r="H37" s="18">
        <f>(Table1[[#This Row],[FY23]]-Table1[[#This Row],[FY22]])/Table1[[#This Row],[FY22]]</f>
        <v>0.18840579710144922</v>
      </c>
      <c r="I37" s="18">
        <f>((Table1[[#This Row],[FY23]]/Table1[[#This Row],[FY21]])^0.5)-1</f>
        <v>0.19941506211489202</v>
      </c>
    </row>
    <row r="38" spans="1:9" x14ac:dyDescent="0.3">
      <c r="B38" t="s">
        <v>22</v>
      </c>
      <c r="C38" s="6">
        <v>0.107</v>
      </c>
      <c r="D38" s="6">
        <v>0.13</v>
      </c>
      <c r="E38" s="6">
        <v>0.14699999999999999</v>
      </c>
      <c r="G38" s="18">
        <f>(Table1[[#This Row],[FY22]]-Table1[[#This Row],[FY21]])/Table1[[#This Row],[FY21]]</f>
        <v>0.21495327102803743</v>
      </c>
      <c r="H38" s="18">
        <f>(Table1[[#This Row],[FY23]]-Table1[[#This Row],[FY22]])/Table1[[#This Row],[FY22]]</f>
        <v>0.13076923076923067</v>
      </c>
      <c r="I38" s="18">
        <f>((Table1[[#This Row],[FY23]]/Table1[[#This Row],[FY21]])^0.5)-1</f>
        <v>0.17210570159048988</v>
      </c>
    </row>
    <row r="39" spans="1:9" x14ac:dyDescent="0.3">
      <c r="B39" t="s">
        <v>23</v>
      </c>
      <c r="C39" s="6">
        <v>0.154</v>
      </c>
      <c r="D39" s="6">
        <v>0.193</v>
      </c>
      <c r="E39" s="6">
        <v>0.23599999999999999</v>
      </c>
      <c r="G39" s="18">
        <f>(Table1[[#This Row],[FY22]]-Table1[[#This Row],[FY21]])/Table1[[#This Row],[FY21]]</f>
        <v>0.25324675324675328</v>
      </c>
      <c r="H39" s="18">
        <f>(Table1[[#This Row],[FY23]]-Table1[[#This Row],[FY22]])/Table1[[#This Row],[FY22]]</f>
        <v>0.2227979274611398</v>
      </c>
      <c r="I39" s="18">
        <f>((Table1[[#This Row],[FY23]]/Table1[[#This Row],[FY21]])^0.5)-1</f>
        <v>0.23792872673168564</v>
      </c>
    </row>
    <row r="40" spans="1:9" x14ac:dyDescent="0.3">
      <c r="B40" t="s">
        <v>24</v>
      </c>
      <c r="C40" s="6">
        <v>0.217</v>
      </c>
      <c r="D40" s="6">
        <v>0.248</v>
      </c>
      <c r="E40" s="6">
        <v>0.27600000000000002</v>
      </c>
      <c r="G40" s="18">
        <f>(Table1[[#This Row],[FY22]]-Table1[[#This Row],[FY21]])/Table1[[#This Row],[FY21]]</f>
        <v>0.14285714285714285</v>
      </c>
      <c r="H40" s="18">
        <f>(Table1[[#This Row],[FY23]]-Table1[[#This Row],[FY22]])/Table1[[#This Row],[FY22]]</f>
        <v>0.11290322580645172</v>
      </c>
      <c r="I40" s="18">
        <f>((Table1[[#This Row],[FY23]]/Table1[[#This Row],[FY21]])^0.5)-1</f>
        <v>0.12778074151036067</v>
      </c>
    </row>
    <row r="41" spans="1:9" x14ac:dyDescent="0.3">
      <c r="B41" t="s">
        <v>25</v>
      </c>
      <c r="C41" s="6">
        <v>0.19500000000000001</v>
      </c>
      <c r="D41" s="6">
        <v>0.23899999999999999</v>
      </c>
      <c r="E41" s="6">
        <v>0.27600000000000002</v>
      </c>
      <c r="G41" s="18">
        <f>(Table1[[#This Row],[FY22]]-Table1[[#This Row],[FY21]])/Table1[[#This Row],[FY21]]</f>
        <v>0.22564102564102556</v>
      </c>
      <c r="H41" s="18">
        <f>(Table1[[#This Row],[FY23]]-Table1[[#This Row],[FY22]])/Table1[[#This Row],[FY22]]</f>
        <v>0.1548117154811717</v>
      </c>
      <c r="I41" s="18">
        <f>((Table1[[#This Row],[FY23]]/Table1[[#This Row],[FY21]])^0.5)-1</f>
        <v>0.18969938025730504</v>
      </c>
    </row>
    <row r="42" spans="1:9" x14ac:dyDescent="0.3">
      <c r="B42" t="s">
        <v>26</v>
      </c>
      <c r="C42" s="6">
        <v>0.16700000000000001</v>
      </c>
      <c r="D42" s="6">
        <v>0.18099999999999999</v>
      </c>
      <c r="E42" s="6">
        <v>0.26600000000000001</v>
      </c>
      <c r="G42" s="18">
        <f>(Table1[[#This Row],[FY22]]-Table1[[#This Row],[FY21]])/Table1[[#This Row],[FY21]]</f>
        <v>8.3832335329341215E-2</v>
      </c>
      <c r="H42" s="18">
        <f>(Table1[[#This Row],[FY23]]-Table1[[#This Row],[FY22]])/Table1[[#This Row],[FY22]]</f>
        <v>0.46961325966850842</v>
      </c>
      <c r="I42" s="18">
        <f>((Table1[[#This Row],[FY23]]/Table1[[#This Row],[FY21]])^0.5)-1</f>
        <v>0.26206749869311063</v>
      </c>
    </row>
    <row r="43" spans="1:9" x14ac:dyDescent="0.3">
      <c r="B43" s="3" t="s">
        <v>27</v>
      </c>
      <c r="C43" s="11">
        <v>0.17899999999999999</v>
      </c>
      <c r="D43" s="11">
        <v>0.21099999999999999</v>
      </c>
      <c r="E43" s="11">
        <v>0.253</v>
      </c>
      <c r="G43" s="18">
        <f>(Table1[[#This Row],[FY22]]-Table1[[#This Row],[FY21]])/Table1[[#This Row],[FY21]]</f>
        <v>0.1787709497206704</v>
      </c>
      <c r="H43" s="18">
        <f>(Table1[[#This Row],[FY23]]-Table1[[#This Row],[FY22]])/Table1[[#This Row],[FY22]]</f>
        <v>0.19905213270142186</v>
      </c>
      <c r="I43" s="18">
        <f>((Table1[[#This Row],[FY23]]/Table1[[#This Row],[FY21]])^0.5)-1</f>
        <v>0.18886829431566987</v>
      </c>
    </row>
    <row r="44" spans="1:9" x14ac:dyDescent="0.3">
      <c r="B44" s="3" t="s">
        <v>28</v>
      </c>
      <c r="C44" s="11">
        <v>0.17299999999999999</v>
      </c>
      <c r="D44" s="11">
        <v>0.20399999999999999</v>
      </c>
      <c r="E44" s="11">
        <v>0.245</v>
      </c>
      <c r="G44" s="18">
        <f>(Table1[[#This Row],[FY22]]-Table1[[#This Row],[FY21]])/Table1[[#This Row],[FY21]]</f>
        <v>0.17919075144508673</v>
      </c>
      <c r="H44" s="18">
        <f>(Table1[[#This Row],[FY23]]-Table1[[#This Row],[FY22]])/Table1[[#This Row],[FY22]]</f>
        <v>0.20098039215686281</v>
      </c>
      <c r="I44" s="18">
        <f>((Table1[[#This Row],[FY23]]/Table1[[#This Row],[FY21]])^0.5)-1</f>
        <v>0.19003570160658034</v>
      </c>
    </row>
    <row r="45" spans="1:9" x14ac:dyDescent="0.3">
      <c r="B45" s="3"/>
      <c r="C45" s="11"/>
      <c r="D45" s="11"/>
      <c r="E45" s="11"/>
      <c r="G45" s="18"/>
      <c r="H45" s="18"/>
      <c r="I45" s="18"/>
    </row>
    <row r="46" spans="1:9" x14ac:dyDescent="0.3">
      <c r="A46" s="3" t="s">
        <v>43</v>
      </c>
      <c r="B46" t="s">
        <v>44</v>
      </c>
      <c r="C46" s="6">
        <v>0.13800000000000001</v>
      </c>
      <c r="D46" s="6">
        <v>0.11899999999999999</v>
      </c>
      <c r="E46" s="6">
        <v>0.157</v>
      </c>
      <c r="G46" s="18">
        <f>(Table1[[#This Row],[FY22]]-Table1[[#This Row],[FY21]])/Table1[[#This Row],[FY21]]</f>
        <v>-0.13768115942028997</v>
      </c>
      <c r="H46" s="18">
        <f>(Table1[[#This Row],[FY23]]-Table1[[#This Row],[FY22]])/Table1[[#This Row],[FY22]]</f>
        <v>0.31932773109243706</v>
      </c>
      <c r="I46" s="18">
        <f>((Table1[[#This Row],[FY23]]/Table1[[#This Row],[FY21]])^0.5)-1</f>
        <v>6.6621375850066888E-2</v>
      </c>
    </row>
    <row r="47" spans="1:9" x14ac:dyDescent="0.3">
      <c r="B47" t="s">
        <v>45</v>
      </c>
      <c r="C47" s="6">
        <v>7.5999999999999998E-2</v>
      </c>
      <c r="D47" s="6">
        <v>3.6999999999999998E-2</v>
      </c>
      <c r="E47" s="6">
        <v>0.126</v>
      </c>
      <c r="G47" s="18">
        <f>(Table1[[#This Row],[FY22]]-Table1[[#This Row],[FY21]])/Table1[[#This Row],[FY21]]</f>
        <v>-0.51315789473684215</v>
      </c>
      <c r="H47" s="18">
        <f>(Table1[[#This Row],[FY23]]-Table1[[#This Row],[FY22]])/Table1[[#This Row],[FY22]]</f>
        <v>2.4054054054054053</v>
      </c>
      <c r="I47" s="18">
        <f>((Table1[[#This Row],[FY23]]/Table1[[#This Row],[FY21]])^0.5)-1</f>
        <v>0.2875926129184283</v>
      </c>
    </row>
    <row r="48" spans="1:9" x14ac:dyDescent="0.3">
      <c r="B48" t="s">
        <v>46</v>
      </c>
      <c r="C48" s="6">
        <v>0.42799999999999999</v>
      </c>
      <c r="D48" s="6">
        <v>0.35599999999999998</v>
      </c>
      <c r="E48" s="6">
        <v>0.39800000000000002</v>
      </c>
      <c r="G48" s="18">
        <f>(Table1[[#This Row],[FY22]]-Table1[[#This Row],[FY21]])/Table1[[#This Row],[FY21]]</f>
        <v>-0.16822429906542058</v>
      </c>
      <c r="H48" s="18">
        <f>(Table1[[#This Row],[FY23]]-Table1[[#This Row],[FY22]])/Table1[[#This Row],[FY22]]</f>
        <v>0.11797752808988775</v>
      </c>
      <c r="I48" s="18">
        <f>((Table1[[#This Row],[FY23]]/Table1[[#This Row],[FY21]])^0.5)-1</f>
        <v>-3.5683380804792497E-2</v>
      </c>
    </row>
    <row r="49" spans="1:9" x14ac:dyDescent="0.3">
      <c r="B49" t="s">
        <v>47</v>
      </c>
      <c r="C49" s="6">
        <v>0.25</v>
      </c>
      <c r="D49" s="6">
        <v>0.21099999999999999</v>
      </c>
      <c r="E49" s="6">
        <v>0.17799999999999999</v>
      </c>
      <c r="G49" s="18">
        <f>(Table1[[#This Row],[FY22]]-Table1[[#This Row],[FY21]])/Table1[[#This Row],[FY21]]</f>
        <v>-0.15600000000000003</v>
      </c>
      <c r="H49" s="18">
        <f>(Table1[[#This Row],[FY23]]-Table1[[#This Row],[FY22]])/Table1[[#This Row],[FY22]]</f>
        <v>-0.15639810426540285</v>
      </c>
      <c r="I49" s="18">
        <f>((Table1[[#This Row],[FY23]]/Table1[[#This Row],[FY21]])^0.5)-1</f>
        <v>-0.15619907561084057</v>
      </c>
    </row>
    <row r="50" spans="1:9" x14ac:dyDescent="0.3">
      <c r="B50" t="s">
        <v>48</v>
      </c>
      <c r="C50" s="6">
        <v>0.11899999999999999</v>
      </c>
      <c r="D50" s="6">
        <v>6.9000000000000006E-2</v>
      </c>
      <c r="E50" s="6">
        <v>0.10299999999999999</v>
      </c>
      <c r="G50" s="18">
        <f>(Table1[[#This Row],[FY22]]-Table1[[#This Row],[FY21]])/Table1[[#This Row],[FY21]]</f>
        <v>-0.42016806722689071</v>
      </c>
      <c r="H50" s="18">
        <f>(Table1[[#This Row],[FY23]]-Table1[[#This Row],[FY22]])/Table1[[#This Row],[FY22]]</f>
        <v>0.4927536231884056</v>
      </c>
      <c r="I50" s="18">
        <f>((Table1[[#This Row],[FY23]]/Table1[[#This Row],[FY21]])^0.5)-1</f>
        <v>-6.965263557776713E-2</v>
      </c>
    </row>
    <row r="51" spans="1:9" x14ac:dyDescent="0.3">
      <c r="B51" t="s">
        <v>49</v>
      </c>
      <c r="C51" s="6">
        <v>8.3000000000000004E-2</v>
      </c>
      <c r="D51" s="6">
        <v>0.154</v>
      </c>
      <c r="E51" s="6">
        <v>8.3000000000000004E-2</v>
      </c>
      <c r="G51" s="18">
        <f>(Table1[[#This Row],[FY22]]-Table1[[#This Row],[FY21]])/Table1[[#This Row],[FY21]]</f>
        <v>0.85542168674698782</v>
      </c>
      <c r="H51" s="18">
        <f>(Table1[[#This Row],[FY23]]-Table1[[#This Row],[FY22]])/Table1[[#This Row],[FY22]]</f>
        <v>-0.46103896103896103</v>
      </c>
      <c r="I51" s="18">
        <f>((Table1[[#This Row],[FY23]]/Table1[[#This Row],[FY21]])^0.5)-1</f>
        <v>0</v>
      </c>
    </row>
    <row r="52" spans="1:9" x14ac:dyDescent="0.3">
      <c r="B52" s="3" t="s">
        <v>40</v>
      </c>
      <c r="C52" s="11">
        <v>0.379</v>
      </c>
      <c r="D52" s="11">
        <v>0.42499999999999999</v>
      </c>
      <c r="E52" s="11">
        <v>0.41899999999999998</v>
      </c>
      <c r="G52" s="18">
        <f>(Table1[[#This Row],[FY22]]-Table1[[#This Row],[FY21]])/Table1[[#This Row],[FY21]]</f>
        <v>0.12137203166226909</v>
      </c>
      <c r="H52" s="18">
        <f>(Table1[[#This Row],[FY23]]-Table1[[#This Row],[FY22]])/Table1[[#This Row],[FY22]]</f>
        <v>-1.4117647058823542E-2</v>
      </c>
      <c r="I52" s="18">
        <f>((Table1[[#This Row],[FY23]]/Table1[[#This Row],[FY21]])^0.5)-1</f>
        <v>5.1447049117370192E-2</v>
      </c>
    </row>
    <row r="53" spans="1:9" x14ac:dyDescent="0.3">
      <c r="B53" s="3" t="s">
        <v>41</v>
      </c>
      <c r="C53" s="11">
        <v>9.2999999999999999E-2</v>
      </c>
      <c r="D53" s="11">
        <v>0.109</v>
      </c>
      <c r="E53" s="11">
        <v>0.14199999999999999</v>
      </c>
      <c r="G53" s="18">
        <f>(Table1[[#This Row],[FY22]]-Table1[[#This Row],[FY21]])/Table1[[#This Row],[FY21]]</f>
        <v>0.17204301075268819</v>
      </c>
      <c r="H53" s="18">
        <f>(Table1[[#This Row],[FY23]]-Table1[[#This Row],[FY22]])/Table1[[#This Row],[FY22]]</f>
        <v>0.30275229357798156</v>
      </c>
      <c r="I53" s="18">
        <f>((Table1[[#This Row],[FY23]]/Table1[[#This Row],[FY21]])^0.5)-1</f>
        <v>0.23567055497414335</v>
      </c>
    </row>
    <row r="54" spans="1:9" x14ac:dyDescent="0.3">
      <c r="B54" s="3"/>
      <c r="C54" s="11"/>
      <c r="D54" s="11"/>
      <c r="E54" s="11"/>
      <c r="G54" s="18"/>
      <c r="H54" s="18"/>
      <c r="I54" s="18"/>
    </row>
    <row r="55" spans="1:9" x14ac:dyDescent="0.3">
      <c r="A55" s="3" t="s">
        <v>50</v>
      </c>
      <c r="B55" t="s">
        <v>21</v>
      </c>
      <c r="C55" s="6">
        <v>6.4999999999999997E-3</v>
      </c>
      <c r="D55" s="6">
        <v>7.0000000000000001E-3</v>
      </c>
      <c r="E55" s="6">
        <v>8.9999999999999993E-3</v>
      </c>
      <c r="G55" s="18">
        <f>(Table1[[#This Row],[FY22]]-Table1[[#This Row],[FY21]])/Table1[[#This Row],[FY21]]</f>
        <v>7.6923076923076997E-2</v>
      </c>
      <c r="H55" s="18">
        <f>(Table1[[#This Row],[FY23]]-Table1[[#This Row],[FY22]])/Table1[[#This Row],[FY22]]</f>
        <v>0.28571428571428559</v>
      </c>
      <c r="I55" s="18">
        <f>((Table1[[#This Row],[FY23]]/Table1[[#This Row],[FY21]])^0.5)-1</f>
        <v>0.17669681082910427</v>
      </c>
    </row>
    <row r="56" spans="1:9" x14ac:dyDescent="0.3">
      <c r="A56" s="3"/>
      <c r="B56" t="s">
        <v>22</v>
      </c>
      <c r="C56" s="6">
        <v>1.2E-2</v>
      </c>
      <c r="D56" s="6">
        <v>1.2999999999999999E-2</v>
      </c>
      <c r="E56" s="6">
        <v>1.4999999999999999E-2</v>
      </c>
      <c r="G56" s="18">
        <f>(Table1[[#This Row],[FY22]]-Table1[[#This Row],[FY21]])/Table1[[#This Row],[FY21]]</f>
        <v>8.3333333333333259E-2</v>
      </c>
      <c r="H56" s="18">
        <f>(Table1[[#This Row],[FY23]]-Table1[[#This Row],[FY22]])/Table1[[#This Row],[FY22]]</f>
        <v>0.15384615384615385</v>
      </c>
      <c r="I56" s="18">
        <f>((Table1[[#This Row],[FY23]]/Table1[[#This Row],[FY21]])^0.5)-1</f>
        <v>0.1180339887498949</v>
      </c>
    </row>
    <row r="57" spans="1:9" x14ac:dyDescent="0.3">
      <c r="B57" t="s">
        <v>23</v>
      </c>
      <c r="C57" s="6">
        <v>1.7000000000000001E-2</v>
      </c>
      <c r="D57" s="6">
        <v>2.5999999999999999E-2</v>
      </c>
      <c r="E57" s="6">
        <v>0.03</v>
      </c>
      <c r="G57" s="18">
        <f>(Table1[[#This Row],[FY22]]-Table1[[#This Row],[FY21]])/Table1[[#This Row],[FY21]]</f>
        <v>0.52941176470588214</v>
      </c>
      <c r="H57" s="18">
        <f>(Table1[[#This Row],[FY23]]-Table1[[#This Row],[FY22]])/Table1[[#This Row],[FY22]]</f>
        <v>0.15384615384615385</v>
      </c>
      <c r="I57" s="18">
        <f>((Table1[[#This Row],[FY23]]/Table1[[#This Row],[FY21]])^0.5)-1</f>
        <v>0.32842232831014284</v>
      </c>
    </row>
    <row r="58" spans="1:9" x14ac:dyDescent="0.3">
      <c r="B58" t="s">
        <v>24</v>
      </c>
      <c r="C58" s="6">
        <v>3.4000000000000002E-2</v>
      </c>
      <c r="D58" s="6">
        <v>4.2999999999999997E-2</v>
      </c>
      <c r="E58" s="6">
        <v>5.6000000000000001E-2</v>
      </c>
      <c r="G58" s="18">
        <f>(Table1[[#This Row],[FY22]]-Table1[[#This Row],[FY21]])/Table1[[#This Row],[FY21]]</f>
        <v>0.26470588235294096</v>
      </c>
      <c r="H58" s="18">
        <f>(Table1[[#This Row],[FY23]]-Table1[[#This Row],[FY22]])/Table1[[#This Row],[FY22]]</f>
        <v>0.30232558139534899</v>
      </c>
      <c r="I58" s="18">
        <f>((Table1[[#This Row],[FY23]]/Table1[[#This Row],[FY21]])^0.5)-1</f>
        <v>0.28337789583949569</v>
      </c>
    </row>
    <row r="59" spans="1:9" x14ac:dyDescent="0.3">
      <c r="B59" t="s">
        <v>25</v>
      </c>
      <c r="C59" s="6">
        <v>5.0999999999999997E-2</v>
      </c>
      <c r="D59" s="6">
        <v>6.7000000000000004E-2</v>
      </c>
      <c r="E59" s="6">
        <v>0.08</v>
      </c>
      <c r="G59" s="18">
        <f>(Table1[[#This Row],[FY22]]-Table1[[#This Row],[FY21]])/Table1[[#This Row],[FY21]]</f>
        <v>0.31372549019607859</v>
      </c>
      <c r="H59" s="18">
        <f>(Table1[[#This Row],[FY23]]-Table1[[#This Row],[FY22]])/Table1[[#This Row],[FY22]]</f>
        <v>0.19402985074626861</v>
      </c>
      <c r="I59" s="18">
        <f>((Table1[[#This Row],[FY23]]/Table1[[#This Row],[FY21]])^0.5)-1</f>
        <v>0.25244858217029909</v>
      </c>
    </row>
    <row r="60" spans="1:9" x14ac:dyDescent="0.3">
      <c r="B60" t="s">
        <v>26</v>
      </c>
      <c r="C60" s="6">
        <v>3.6999999999999998E-2</v>
      </c>
      <c r="D60" s="6">
        <v>3.7999999999999999E-2</v>
      </c>
      <c r="E60" s="6">
        <v>4.7E-2</v>
      </c>
      <c r="G60" s="18">
        <f>(Table1[[#This Row],[FY22]]-Table1[[#This Row],[FY21]])/Table1[[#This Row],[FY21]]</f>
        <v>2.7027027027027053E-2</v>
      </c>
      <c r="H60" s="18">
        <f>(Table1[[#This Row],[FY23]]-Table1[[#This Row],[FY22]])/Table1[[#This Row],[FY22]]</f>
        <v>0.23684210526315794</v>
      </c>
      <c r="I60" s="18">
        <f>((Table1[[#This Row],[FY23]]/Table1[[#This Row],[FY21]])^0.5)-1</f>
        <v>0.12706267362124568</v>
      </c>
    </row>
    <row r="61" spans="1:9" x14ac:dyDescent="0.3">
      <c r="B61" s="3" t="s">
        <v>27</v>
      </c>
      <c r="C61" s="11">
        <v>3.4000000000000002E-2</v>
      </c>
      <c r="D61" s="11">
        <v>4.2000000000000003E-2</v>
      </c>
      <c r="E61" s="11">
        <v>0.05</v>
      </c>
      <c r="G61" s="18">
        <f>(Table1[[#This Row],[FY22]]-Table1[[#This Row],[FY21]])/Table1[[#This Row],[FY21]]</f>
        <v>0.23529411764705882</v>
      </c>
      <c r="H61" s="18">
        <f>(Table1[[#This Row],[FY23]]-Table1[[#This Row],[FY22]])/Table1[[#This Row],[FY22]]</f>
        <v>0.19047619047619047</v>
      </c>
      <c r="I61" s="18">
        <f>((Table1[[#This Row],[FY23]]/Table1[[#This Row],[FY21]])^0.5)-1</f>
        <v>0.21267812518166473</v>
      </c>
    </row>
    <row r="62" spans="1:9" x14ac:dyDescent="0.3">
      <c r="B62" s="3" t="s">
        <v>28</v>
      </c>
      <c r="C62" s="11">
        <v>3.2000000000000001E-2</v>
      </c>
      <c r="D62" s="11">
        <v>0.04</v>
      </c>
      <c r="E62" s="11">
        <v>4.8000000000000001E-2</v>
      </c>
      <c r="G62" s="18">
        <f>(Table1[[#This Row],[FY22]]-Table1[[#This Row],[FY21]])/Table1[[#This Row],[FY21]]</f>
        <v>0.25</v>
      </c>
      <c r="H62" s="18">
        <f>(Table1[[#This Row],[FY23]]-Table1[[#This Row],[FY22]])/Table1[[#This Row],[FY22]]</f>
        <v>0.2</v>
      </c>
      <c r="I62" s="18">
        <f>((Table1[[#This Row],[FY23]]/Table1[[#This Row],[FY21]])^0.5)-1</f>
        <v>0.22474487139158894</v>
      </c>
    </row>
    <row r="63" spans="1:9" x14ac:dyDescent="0.3">
      <c r="B63" s="3"/>
      <c r="C63" s="11"/>
      <c r="D63" s="11"/>
      <c r="E63" s="11"/>
      <c r="G63" s="18"/>
      <c r="H63" s="18"/>
      <c r="I63" s="18"/>
    </row>
    <row r="64" spans="1:9" x14ac:dyDescent="0.3">
      <c r="A64" s="3" t="s">
        <v>51</v>
      </c>
      <c r="B64" t="s">
        <v>52</v>
      </c>
      <c r="C64" s="6">
        <v>0.23</v>
      </c>
      <c r="D64" s="6">
        <v>0.19400000000000001</v>
      </c>
      <c r="E64" s="6">
        <v>0.218</v>
      </c>
      <c r="G64" s="18">
        <f>(Table1[[#This Row],[FY22]]-Table1[[#This Row],[FY21]])/Table1[[#This Row],[FY21]]</f>
        <v>-0.15652173913043479</v>
      </c>
      <c r="H64" s="18">
        <f>(Table1[[#This Row],[FY23]]-Table1[[#This Row],[FY22]])/Table1[[#This Row],[FY22]]</f>
        <v>0.12371134020618553</v>
      </c>
      <c r="I64" s="18">
        <f>((Table1[[#This Row],[FY23]]/Table1[[#This Row],[FY22]])^1)-1</f>
        <v>0.12371134020618557</v>
      </c>
    </row>
    <row r="65" spans="1:9" x14ac:dyDescent="0.3">
      <c r="B65" t="s">
        <v>53</v>
      </c>
      <c r="C65" s="9">
        <v>0.158</v>
      </c>
      <c r="D65" s="9">
        <v>0.11799999999999999</v>
      </c>
      <c r="E65" s="9">
        <v>0.184</v>
      </c>
      <c r="G65" s="18">
        <f>(Table1[[#This Row],[FY22]]-Table1[[#This Row],[FY21]])/Table1[[#This Row],[FY21]]</f>
        <v>-0.25316455696202539</v>
      </c>
      <c r="H65" s="18">
        <f>(Table1[[#This Row],[FY23]]-Table1[[#This Row],[FY22]])/Table1[[#This Row],[FY22]]</f>
        <v>0.55932203389830515</v>
      </c>
      <c r="I65" s="18">
        <f>((Table1[[#This Row],[FY23]]/Table1[[#This Row],[FY22]])^1)-1</f>
        <v>0.55932203389830515</v>
      </c>
    </row>
    <row r="66" spans="1:9" x14ac:dyDescent="0.3">
      <c r="B66" t="s">
        <v>54</v>
      </c>
      <c r="C66" s="9">
        <v>0.58699999999999997</v>
      </c>
      <c r="D66" s="9">
        <v>0.47099999999999997</v>
      </c>
      <c r="E66" s="9">
        <v>0.51400000000000001</v>
      </c>
      <c r="G66" s="18">
        <f>(Table1[[#This Row],[FY22]]-Table1[[#This Row],[FY21]])/Table1[[#This Row],[FY21]]</f>
        <v>-0.19761499148211242</v>
      </c>
      <c r="H66" s="18">
        <f>(Table1[[#This Row],[FY23]]-Table1[[#This Row],[FY22]])/Table1[[#This Row],[FY22]]</f>
        <v>9.129511677282387E-2</v>
      </c>
      <c r="I66" s="18">
        <f>((Table1[[#This Row],[FY23]]/Table1[[#This Row],[FY22]])^1)-1</f>
        <v>9.1295116772823759E-2</v>
      </c>
    </row>
    <row r="67" spans="1:9" x14ac:dyDescent="0.3">
      <c r="B67" t="s">
        <v>55</v>
      </c>
      <c r="C67" s="7">
        <v>0.5</v>
      </c>
      <c r="D67" s="9">
        <v>0.36799999999999999</v>
      </c>
      <c r="E67" s="9">
        <v>0.3</v>
      </c>
      <c r="G67" s="18">
        <f>(Table1[[#This Row],[FY22]]-Table1[[#This Row],[FY21]])/Table1[[#This Row],[FY21]]</f>
        <v>-0.26400000000000001</v>
      </c>
      <c r="H67" s="18">
        <f>(Table1[[#This Row],[FY23]]-Table1[[#This Row],[FY22]])/Table1[[#This Row],[FY22]]</f>
        <v>-0.18478260869565219</v>
      </c>
      <c r="I67" s="18">
        <f>((Table1[[#This Row],[FY23]]/Table1[[#This Row],[FY22]])^1)-1</f>
        <v>-0.18478260869565222</v>
      </c>
    </row>
    <row r="68" spans="1:9" x14ac:dyDescent="0.3">
      <c r="B68" t="s">
        <v>56</v>
      </c>
      <c r="C68" s="9">
        <v>0.41499999999999998</v>
      </c>
      <c r="D68" s="9">
        <v>0.372</v>
      </c>
      <c r="E68" s="9">
        <v>0.27400000000000002</v>
      </c>
      <c r="G68" s="18">
        <f>(Table1[[#This Row],[FY22]]-Table1[[#This Row],[FY21]])/Table1[[#This Row],[FY21]]</f>
        <v>-0.10361445783132527</v>
      </c>
      <c r="H68" s="18">
        <f>(Table1[[#This Row],[FY23]]-Table1[[#This Row],[FY22]])/Table1[[#This Row],[FY22]]</f>
        <v>-0.2634408602150537</v>
      </c>
      <c r="I68" s="18">
        <f>((Table1[[#This Row],[FY23]]/Table1[[#This Row],[FY22]])^1)-1</f>
        <v>-0.26344086021505375</v>
      </c>
    </row>
    <row r="69" spans="1:9" x14ac:dyDescent="0.3">
      <c r="B69" t="s">
        <v>57</v>
      </c>
      <c r="C69" s="9">
        <v>0.41699999999999998</v>
      </c>
      <c r="D69" s="9">
        <v>0.38500000000000001</v>
      </c>
      <c r="E69" s="9">
        <v>0.25</v>
      </c>
      <c r="G69" s="18">
        <f>(Table1[[#This Row],[FY22]]-Table1[[#This Row],[FY21]])/Table1[[#This Row],[FY21]]</f>
        <v>-7.6738609112709771E-2</v>
      </c>
      <c r="H69" s="18">
        <f>(Table1[[#This Row],[FY23]]-Table1[[#This Row],[FY22]])/Table1[[#This Row],[FY22]]</f>
        <v>-0.35064935064935066</v>
      </c>
      <c r="I69" s="18">
        <f>((Table1[[#This Row],[FY23]]/Table1[[#This Row],[FY22]])^1)-1</f>
        <v>-0.35064935064935066</v>
      </c>
    </row>
    <row r="70" spans="1:9" x14ac:dyDescent="0.3">
      <c r="B70" s="3" t="s">
        <v>58</v>
      </c>
      <c r="C70" s="12">
        <v>0.48299999999999998</v>
      </c>
      <c r="D70" s="10">
        <v>0.52</v>
      </c>
      <c r="E70" s="10">
        <v>0.497</v>
      </c>
      <c r="G70" s="18">
        <f>(Table1[[#This Row],[FY22]]-Table1[[#This Row],[FY21]])/Table1[[#This Row],[FY21]]</f>
        <v>7.6604554865424501E-2</v>
      </c>
      <c r="H70" s="18">
        <f>(Table1[[#This Row],[FY23]]-Table1[[#This Row],[FY22]])/Table1[[#This Row],[FY22]]</f>
        <v>-4.4230769230769268E-2</v>
      </c>
      <c r="I70" s="18">
        <f>((Table1[[#This Row],[FY23]]/Table1[[#This Row],[FY22]])^1)-1</f>
        <v>-4.4230769230769296E-2</v>
      </c>
    </row>
    <row r="71" spans="1:9" x14ac:dyDescent="0.3">
      <c r="B71" s="3" t="s">
        <v>59</v>
      </c>
      <c r="C71" s="12">
        <v>0.185</v>
      </c>
      <c r="D71" s="12">
        <v>0.17499999999999999</v>
      </c>
      <c r="E71" s="12">
        <v>0.20200000000000001</v>
      </c>
      <c r="G71" s="18">
        <f>(Table1[[#This Row],[FY22]]-Table1[[#This Row],[FY21]])/Table1[[#This Row],[FY21]]</f>
        <v>-5.4054054054054106E-2</v>
      </c>
      <c r="H71" s="18">
        <f>(Table1[[#This Row],[FY23]]-Table1[[#This Row],[FY22]])/Table1[[#This Row],[FY22]]</f>
        <v>0.15428571428571444</v>
      </c>
      <c r="I71" s="18">
        <f>((Table1[[#This Row],[FY23]]/Table1[[#This Row],[FY22]])^1)-1</f>
        <v>0.15428571428571436</v>
      </c>
    </row>
    <row r="72" spans="1:9" x14ac:dyDescent="0.3">
      <c r="C72" s="14"/>
      <c r="D72" s="12"/>
      <c r="E72" s="12"/>
      <c r="G72" s="18"/>
      <c r="H72" s="18"/>
      <c r="I72" s="18"/>
    </row>
    <row r="73" spans="1:9" x14ac:dyDescent="0.3">
      <c r="A73" s="3" t="s">
        <v>60</v>
      </c>
      <c r="B73" t="s">
        <v>61</v>
      </c>
      <c r="C73" s="8" t="s">
        <v>18</v>
      </c>
      <c r="D73" s="9">
        <v>4.4999999999999998E-2</v>
      </c>
      <c r="E73" s="9">
        <v>5.3999999999999999E-2</v>
      </c>
      <c r="G73" s="18" t="s">
        <v>18</v>
      </c>
      <c r="H73" s="18">
        <f>(Table1[[#This Row],[FY23]]-Table1[[#This Row],[FY22]])/Table1[[#This Row],[FY22]]</f>
        <v>0.20000000000000004</v>
      </c>
      <c r="I73" s="18">
        <f>Table1[[#This Row],[YoY (22-23)]]</f>
        <v>0.20000000000000004</v>
      </c>
    </row>
    <row r="74" spans="1:9" x14ac:dyDescent="0.3">
      <c r="B74" t="s">
        <v>62</v>
      </c>
      <c r="C74" s="8" t="s">
        <v>18</v>
      </c>
      <c r="D74" s="9">
        <v>5.0999999999999997E-2</v>
      </c>
      <c r="E74" s="9">
        <v>5.3999999999999999E-2</v>
      </c>
      <c r="G74" s="18" t="s">
        <v>18</v>
      </c>
      <c r="H74" s="18">
        <f>(Table1[[#This Row],[FY23]]-Table1[[#This Row],[FY22]])/Table1[[#This Row],[FY22]]</f>
        <v>5.8823529411764761E-2</v>
      </c>
      <c r="I74" s="18">
        <f>Table1[[#This Row],[YoY (22-23)]]</f>
        <v>5.8823529411764761E-2</v>
      </c>
    </row>
    <row r="75" spans="1:9" x14ac:dyDescent="0.3">
      <c r="C75" s="8"/>
      <c r="D75" s="8"/>
      <c r="G75" s="18"/>
      <c r="H75" s="18"/>
      <c r="I75" s="18"/>
    </row>
    <row r="76" spans="1:9" x14ac:dyDescent="0.3">
      <c r="A76" s="3" t="s">
        <v>63</v>
      </c>
      <c r="B76" t="s">
        <v>64</v>
      </c>
      <c r="C76" s="8" t="s">
        <v>18</v>
      </c>
      <c r="D76" s="9">
        <v>2.1999999999999999E-2</v>
      </c>
      <c r="E76" s="9">
        <v>4.5999999999999999E-2</v>
      </c>
      <c r="G76" s="18" t="s">
        <v>18</v>
      </c>
      <c r="H76" s="18">
        <f>(Table1[[#This Row],[FY23]]-Table1[[#This Row],[FY22]])/Table1[[#This Row],[FY22]]</f>
        <v>1.0909090909090911</v>
      </c>
      <c r="I76" s="19">
        <f>Table1[[#This Row],[FY23]]</f>
        <v>4.5999999999999999E-2</v>
      </c>
    </row>
    <row r="77" spans="1:9" x14ac:dyDescent="0.3">
      <c r="B77" t="s">
        <v>65</v>
      </c>
      <c r="C77" s="8" t="s">
        <v>18</v>
      </c>
      <c r="D77" s="9">
        <v>3.9E-2</v>
      </c>
      <c r="E77" s="9">
        <v>4.7E-2</v>
      </c>
      <c r="G77" s="18" t="s">
        <v>18</v>
      </c>
      <c r="H77" s="18">
        <f>(Table1[[#This Row],[FY23]]-Table1[[#This Row],[FY22]])/Table1[[#This Row],[FY22]]</f>
        <v>0.20512820512820512</v>
      </c>
      <c r="I77" s="19">
        <f>Table1[[#This Row],[FY23]]</f>
        <v>4.7E-2</v>
      </c>
    </row>
    <row r="78" spans="1:9" x14ac:dyDescent="0.3">
      <c r="G78" s="18"/>
      <c r="H78" s="18"/>
      <c r="I78" s="18"/>
    </row>
    <row r="79" spans="1:9" x14ac:dyDescent="0.3">
      <c r="A79" s="3" t="s">
        <v>66</v>
      </c>
      <c r="B79" t="s">
        <v>67</v>
      </c>
      <c r="C79" s="15" t="s">
        <v>68</v>
      </c>
      <c r="D79" s="16" t="s">
        <v>69</v>
      </c>
      <c r="E79" s="16" t="s">
        <v>79</v>
      </c>
      <c r="G79" s="18">
        <f>(Table1[[#This Row],[FY22]]-Table1[[#This Row],[FY21]])/Table1[[#This Row],[FY21]]</f>
        <v>0.18068660911463574</v>
      </c>
      <c r="H79" s="18">
        <f>(Table1[[#This Row],[FY23]]-Table1[[#This Row],[FY22]])/Table1[[#This Row],[FY22]]</f>
        <v>2.040469307940819E-2</v>
      </c>
      <c r="I79" s="18">
        <f>Table1[[#This Row],[YoY (22-23)]]</f>
        <v>2.040469307940819E-2</v>
      </c>
    </row>
    <row r="80" spans="1:9" x14ac:dyDescent="0.3">
      <c r="B80" t="s">
        <v>70</v>
      </c>
      <c r="C80" s="17" t="s">
        <v>71</v>
      </c>
      <c r="D80" s="17" t="s">
        <v>72</v>
      </c>
      <c r="E80" s="17" t="s">
        <v>80</v>
      </c>
      <c r="G80" s="18">
        <f>(Table1[[#This Row],[FY22]]-Table1[[#This Row],[FY21]])/Table1[[#This Row],[FY21]]</f>
        <v>0.16975793775542283</v>
      </c>
      <c r="H80" s="18">
        <f>(Table1[[#This Row],[FY23]]-Table1[[#This Row],[FY22]])/Table1[[#This Row],[FY22]]</f>
        <v>-1.6124697661918784E-2</v>
      </c>
      <c r="I80" s="18">
        <f>Table1[[#This Row],[YoY (22-23)]]</f>
        <v>-1.6124697661918784E-2</v>
      </c>
    </row>
    <row r="81" spans="2:9" x14ac:dyDescent="0.3">
      <c r="B81" t="s">
        <v>73</v>
      </c>
      <c r="C81" s="17" t="s">
        <v>74</v>
      </c>
      <c r="D81" s="17" t="s">
        <v>75</v>
      </c>
      <c r="E81" s="17" t="s">
        <v>81</v>
      </c>
      <c r="G81" s="18">
        <f>(Table1[[#This Row],[FY22]]-Table1[[#This Row],[FY21]])/Table1[[#This Row],[FY21]]</f>
        <v>0.17638412542871143</v>
      </c>
      <c r="H81" s="18">
        <f>(Table1[[#This Row],[FY23]]-Table1[[#This Row],[FY22]])/Table1[[#This Row],[FY22]]</f>
        <v>-2.4989587671803325E-2</v>
      </c>
      <c r="I81" s="18">
        <f>Table1[[#This Row],[YoY (22-23)]]</f>
        <v>-2.4989587671803325E-2</v>
      </c>
    </row>
  </sheetData>
  <conditionalFormatting sqref="G30">
    <cfRule type="colorScale" priority="97">
      <colorScale>
        <cfvo type="min"/>
        <cfvo type="max"/>
        <color rgb="FFF8696B"/>
        <color rgb="FFFCFCFF"/>
      </colorScale>
    </cfRule>
  </conditionalFormatting>
  <conditionalFormatting sqref="G32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0">
    <cfRule type="colorScale" priority="90">
      <colorScale>
        <cfvo type="min"/>
        <cfvo type="max"/>
        <color rgb="FFF8696B"/>
        <color rgb="FFFCFCFF"/>
      </colorScale>
    </cfRule>
  </conditionalFormatting>
  <conditionalFormatting sqref="G57:G60">
    <cfRule type="colorScale" priority="77">
      <colorScale>
        <cfvo type="min"/>
        <cfvo type="max"/>
        <color rgb="FFF8696B"/>
        <color rgb="FFFCFCFF"/>
      </colorScale>
    </cfRule>
  </conditionalFormatting>
  <conditionalFormatting sqref="G60:G81">
    <cfRule type="colorScale" priority="75">
      <colorScale>
        <cfvo type="min"/>
        <cfvo type="max"/>
        <color rgb="FFF8696B"/>
        <color rgb="FFFCFCFF"/>
      </colorScale>
    </cfRule>
  </conditionalFormatting>
  <conditionalFormatting sqref="G62:G81">
    <cfRule type="colorScale" priority="80">
      <colorScale>
        <cfvo type="min"/>
        <cfvo type="max"/>
        <color rgb="FFF8696B"/>
        <color rgb="FFFCFCFF"/>
      </colorScale>
    </cfRule>
  </conditionalFormatting>
  <conditionalFormatting sqref="G55:H56">
    <cfRule type="colorScale" priority="76">
      <colorScale>
        <cfvo type="min"/>
        <cfvo type="max"/>
        <color rgb="FFFCFCFF"/>
        <color rgb="FF63BE7B"/>
      </colorScale>
    </cfRule>
  </conditionalFormatting>
  <conditionalFormatting sqref="G2:I4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6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14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I6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:I7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9:I11 G12:H13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I11 G12:H13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:I20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:I22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I26">
    <cfRule type="colorScale" priority="101">
      <colorScale>
        <cfvo type="min"/>
        <cfvo type="max"/>
        <color rgb="FFFCFCFF"/>
        <color rgb="FF63BE7B"/>
      </colorScale>
    </cfRule>
  </conditionalFormatting>
  <conditionalFormatting sqref="G27:I32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7:I33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1:I33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2:I33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3:I33">
    <cfRule type="colorScale" priority="98">
      <colorScale>
        <cfvo type="min"/>
        <cfvo type="max"/>
        <color rgb="FFFCFCFF"/>
        <color rgb="FFF8696B"/>
      </colorScale>
    </cfRule>
  </conditionalFormatting>
  <conditionalFormatting sqref="G34:I36">
    <cfRule type="colorScale" priority="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7:I42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2:I42">
    <cfRule type="colorScale" priority="86">
      <colorScale>
        <cfvo type="min"/>
        <cfvo type="max"/>
        <color rgb="FFF8696B"/>
        <color rgb="FFFCFCFF"/>
      </colorScale>
    </cfRule>
  </conditionalFormatting>
  <conditionalFormatting sqref="G43:I55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6:I51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2:I54"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5:I60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0:I60">
    <cfRule type="colorScale" priority="78">
      <colorScale>
        <cfvo type="min"/>
        <cfvo type="max"/>
        <color rgb="FFF8696B"/>
        <color rgb="FFFCFCFF"/>
      </colorScale>
    </cfRule>
  </conditionalFormatting>
  <conditionalFormatting sqref="G61:I62 H63:I63 G63:G81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0:H55">
    <cfRule type="colorScale" priority="113">
      <colorScale>
        <cfvo type="min"/>
        <cfvo type="max"/>
        <color rgb="FFFCFCFF"/>
        <color rgb="FF63BE7B"/>
      </colorScale>
    </cfRule>
  </conditionalFormatting>
  <conditionalFormatting sqref="H37:I41">
    <cfRule type="colorScale" priority="87">
      <colorScale>
        <cfvo type="min"/>
        <cfvo type="max"/>
        <color rgb="FFFCFCFF"/>
        <color rgb="FF63BE7B"/>
      </colorScale>
    </cfRule>
  </conditionalFormatting>
  <conditionalFormatting sqref="H41:I55">
    <cfRule type="colorScale" priority="115">
      <colorScale>
        <cfvo type="min"/>
        <cfvo type="max"/>
        <color rgb="FFFCFCFF"/>
        <color rgb="FF63BE7B"/>
      </colorScale>
    </cfRule>
  </conditionalFormatting>
  <conditionalFormatting sqref="H64:I69">
    <cfRule type="colorScale" priority="73">
      <colorScale>
        <cfvo type="min"/>
        <cfvo type="max"/>
        <color rgb="FF63BE7B"/>
        <color rgb="FFFCFCFF"/>
      </colorScale>
    </cfRule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8:I74 H75:H77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0:I74 H75:H77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9:I81">
    <cfRule type="colorScale" priority="6">
      <colorScale>
        <cfvo type="min"/>
        <cfvo type="max"/>
        <color rgb="FFFCFCFF"/>
        <color rgb="FF63BE7B"/>
      </colorScale>
    </cfRule>
  </conditionalFormatting>
  <conditionalFormatting sqref="H80:I81">
    <cfRule type="colorScale" priority="3">
      <colorScale>
        <cfvo type="min"/>
        <cfvo type="max"/>
        <color rgb="FFFCFCFF"/>
        <color rgb="FF63BE7B"/>
      </colorScale>
    </cfRule>
  </conditionalFormatting>
  <conditionalFormatting sqref="I7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2">
    <cfRule type="colorScale" priority="106">
      <colorScale>
        <cfvo type="min"/>
        <cfvo type="max"/>
        <color rgb="FFFCFCFF"/>
        <color rgb="FF63BE7B"/>
      </colorScale>
    </cfRule>
  </conditionalFormatting>
  <conditionalFormatting sqref="I13:I14">
    <cfRule type="colorScale" priority="117">
      <colorScale>
        <cfvo type="min"/>
        <cfvo type="max"/>
        <color rgb="FFFCFCFF"/>
        <color rgb="FF63BE7B"/>
      </colorScale>
    </cfRule>
  </conditionalFormatting>
  <conditionalFormatting sqref="I33">
    <cfRule type="colorScale" priority="94">
      <colorScale>
        <cfvo type="min"/>
        <cfvo type="max"/>
        <color rgb="FFFCFCFF"/>
        <color rgb="FFF8696B"/>
      </colorScale>
    </cfRule>
  </conditionalFormatting>
  <conditionalFormatting sqref="I39">
    <cfRule type="colorScale" priority="89">
      <colorScale>
        <cfvo type="min"/>
        <cfvo type="max"/>
        <color rgb="FF63BE7B"/>
        <color rgb="FFFCFCFF"/>
      </colorScale>
    </cfRule>
  </conditionalFormatting>
  <conditionalFormatting sqref="I39:I41">
    <cfRule type="colorScale" priority="88">
      <colorScale>
        <cfvo type="min"/>
        <cfvo type="max"/>
        <color rgb="FFFCFCFF"/>
        <color rgb="FF63BE7B"/>
      </colorScale>
    </cfRule>
  </conditionalFormatting>
  <conditionalFormatting sqref="I39:I55">
    <cfRule type="colorScale" priority="112">
      <colorScale>
        <cfvo type="min"/>
        <cfvo type="max"/>
        <color rgb="FFFCFCFF"/>
        <color rgb="FF63BE7B"/>
      </colorScale>
    </cfRule>
  </conditionalFormatting>
  <conditionalFormatting sqref="I42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3:I55">
    <cfRule type="colorScale" priority="114">
      <colorScale>
        <cfvo type="min"/>
        <cfvo type="max"/>
        <color rgb="FF63BE7B"/>
        <color rgb="FFFCFCFF"/>
      </colorScale>
    </cfRule>
  </conditionalFormatting>
  <conditionalFormatting sqref="I55:I63">
    <cfRule type="colorScale" priority="79">
      <colorScale>
        <cfvo type="min"/>
        <cfvo type="max"/>
        <color rgb="FFFCFCFF"/>
        <color rgb="FF63BE7B"/>
      </colorScale>
    </cfRule>
  </conditionalFormatting>
  <conditionalFormatting sqref="I76:I77">
    <cfRule type="colorScale" priority="67">
      <colorScale>
        <cfvo type="min"/>
        <cfvo type="max"/>
        <color rgb="FFFCFCFF"/>
        <color rgb="FF63BE7B"/>
      </colorScale>
    </cfRule>
  </conditionalFormatting>
  <conditionalFormatting sqref="G2:I3">
    <cfRule type="colorScale" priority="66">
      <colorScale>
        <cfvo type="min"/>
        <cfvo type="max"/>
        <color rgb="FFFCFCFF"/>
        <color rgb="FF63BE7B"/>
      </colorScale>
    </cfRule>
  </conditionalFormatting>
  <conditionalFormatting sqref="G5:I13">
    <cfRule type="colorScale" priority="65">
      <colorScale>
        <cfvo type="min"/>
        <cfvo type="max"/>
        <color rgb="FFFCFCFF"/>
        <color rgb="FF63BE7B"/>
      </colorScale>
    </cfRule>
  </conditionalFormatting>
  <conditionalFormatting sqref="H7">
    <cfRule type="colorScale" priority="64">
      <colorScale>
        <cfvo type="min"/>
        <cfvo type="max"/>
        <color rgb="FFFCFCFF"/>
        <color rgb="FFF8696B"/>
      </colorScale>
    </cfRule>
  </conditionalFormatting>
  <conditionalFormatting sqref="H8">
    <cfRule type="colorScale" priority="63">
      <colorScale>
        <cfvo type="min"/>
        <cfvo type="max"/>
        <color rgb="FFFCFCFF"/>
        <color rgb="FFF8696B"/>
      </colorScale>
    </cfRule>
  </conditionalFormatting>
  <conditionalFormatting sqref="G12">
    <cfRule type="colorScale" priority="62">
      <colorScale>
        <cfvo type="min"/>
        <cfvo type="max"/>
        <color rgb="FFF8696B"/>
        <color rgb="FFFCFCFF"/>
      </colorScale>
    </cfRule>
  </conditionalFormatting>
  <conditionalFormatting sqref="H13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5:I25">
    <cfRule type="colorScale" priority="60">
      <colorScale>
        <cfvo type="min"/>
        <cfvo type="max"/>
        <color rgb="FFFCFCFF"/>
        <color rgb="FF63BE7B"/>
      </colorScale>
    </cfRule>
  </conditionalFormatting>
  <conditionalFormatting sqref="G20">
    <cfRule type="colorScale" priority="59">
      <colorScale>
        <cfvo type="min"/>
        <cfvo type="max"/>
        <color rgb="FF63BE7B"/>
        <color rgb="FFFCFCFF"/>
      </colorScale>
    </cfRule>
  </conditionalFormatting>
  <conditionalFormatting sqref="H17">
    <cfRule type="colorScale" priority="50">
      <colorScale>
        <cfvo type="min"/>
        <cfvo type="max"/>
        <color rgb="FFFCFCFF"/>
        <color rgb="FFF8696B"/>
      </colorScale>
    </cfRule>
  </conditionalFormatting>
  <conditionalFormatting sqref="H23">
    <cfRule type="colorScale" priority="57">
      <colorScale>
        <cfvo type="min"/>
        <cfvo type="max"/>
        <color rgb="FFFCFCFF"/>
        <color rgb="FFF8696B"/>
      </colorScale>
    </cfRule>
  </conditionalFormatting>
  <conditionalFormatting sqref="I23">
    <cfRule type="colorScale" priority="56">
      <colorScale>
        <cfvo type="min"/>
        <cfvo type="max"/>
        <color rgb="FFFCFCFF"/>
        <color rgb="FFF8696B"/>
      </colorScale>
    </cfRule>
  </conditionalFormatting>
  <conditionalFormatting sqref="G24:I25">
    <cfRule type="colorScale" priority="55">
      <colorScale>
        <cfvo type="min"/>
        <cfvo type="max"/>
        <color rgb="FF63BE7B"/>
        <color rgb="FFFCFCFF"/>
      </colorScale>
    </cfRule>
  </conditionalFormatting>
  <conditionalFormatting sqref="G23">
    <cfRule type="colorScale" priority="54">
      <colorScale>
        <cfvo type="min"/>
        <cfvo type="max"/>
        <color rgb="FF63BE7B"/>
        <color rgb="FFFCFCFF"/>
      </colorScale>
    </cfRule>
  </conditionalFormatting>
  <conditionalFormatting sqref="G18">
    <cfRule type="colorScale" priority="53">
      <colorScale>
        <cfvo type="min"/>
        <cfvo type="max"/>
        <color rgb="FF63BE7B"/>
        <color rgb="FFFCFCFF"/>
      </colorScale>
    </cfRule>
  </conditionalFormatting>
  <conditionalFormatting sqref="I20">
    <cfRule type="colorScale" priority="52">
      <colorScale>
        <cfvo type="min"/>
        <cfvo type="max"/>
        <color rgb="FF63BE7B"/>
        <color rgb="FFFCFCFF"/>
      </colorScale>
    </cfRule>
  </conditionalFormatting>
  <conditionalFormatting sqref="I17">
    <cfRule type="colorScale" priority="51">
      <colorScale>
        <cfvo type="min"/>
        <cfvo type="max"/>
        <color rgb="FF63BE7B"/>
        <color rgb="FFFCFCFF"/>
      </colorScale>
    </cfRule>
  </conditionalFormatting>
  <conditionalFormatting sqref="G27:I35">
    <cfRule type="colorScale" priority="49">
      <colorScale>
        <cfvo type="min"/>
        <cfvo type="max"/>
        <color rgb="FF63BE7B"/>
        <color rgb="FFFCFCFF"/>
      </colorScale>
    </cfRule>
  </conditionalFormatting>
  <conditionalFormatting sqref="G27:G29">
    <cfRule type="colorScale" priority="48">
      <colorScale>
        <cfvo type="min"/>
        <cfvo type="max"/>
        <color rgb="FFFCFCFF"/>
        <color rgb="FFF8696B"/>
      </colorScale>
    </cfRule>
  </conditionalFormatting>
  <conditionalFormatting sqref="G27">
    <cfRule type="colorScale" priority="43">
      <colorScale>
        <cfvo type="min"/>
        <cfvo type="max"/>
        <color rgb="FFF8696B"/>
        <color rgb="FFFCFCFF"/>
      </colorScale>
    </cfRule>
  </conditionalFormatting>
  <conditionalFormatting sqref="G29">
    <cfRule type="colorScale" priority="46">
      <colorScale>
        <cfvo type="min"/>
        <cfvo type="max"/>
        <color rgb="FFFCFCFF"/>
        <color rgb="FFF8696B"/>
      </colorScale>
    </cfRule>
  </conditionalFormatting>
  <conditionalFormatting sqref="H28">
    <cfRule type="colorScale" priority="45">
      <colorScale>
        <cfvo type="min"/>
        <cfvo type="max"/>
        <color rgb="FFFCFCFF"/>
        <color rgb="FFF8696B"/>
      </colorScale>
    </cfRule>
  </conditionalFormatting>
  <conditionalFormatting sqref="I29">
    <cfRule type="colorScale" priority="44">
      <colorScale>
        <cfvo type="min"/>
        <cfvo type="max"/>
        <color rgb="FFF8696B"/>
        <color rgb="FFFCFCFF"/>
      </colorScale>
    </cfRule>
  </conditionalFormatting>
  <conditionalFormatting sqref="H30">
    <cfRule type="colorScale" priority="42">
      <colorScale>
        <cfvo type="min"/>
        <cfvo type="max"/>
        <color rgb="FFFCFCFF"/>
        <color rgb="FFF8696B"/>
      </colorScale>
    </cfRule>
  </conditionalFormatting>
  <conditionalFormatting sqref="H31">
    <cfRule type="colorScale" priority="41">
      <colorScale>
        <cfvo type="min"/>
        <cfvo type="max"/>
        <color rgb="FFFCFCFF"/>
        <color rgb="FFF8696B"/>
      </colorScale>
    </cfRule>
  </conditionalFormatting>
  <conditionalFormatting sqref="I31">
    <cfRule type="colorScale" priority="40">
      <colorScale>
        <cfvo type="min"/>
        <cfvo type="max"/>
        <color rgb="FFF8696B"/>
        <color rgb="FFFCFCFF"/>
      </colorScale>
    </cfRule>
  </conditionalFormatting>
  <conditionalFormatting sqref="H33">
    <cfRule type="colorScale" priority="39">
      <colorScale>
        <cfvo type="min"/>
        <cfvo type="max"/>
        <color rgb="FFFCFCFF"/>
        <color rgb="FFF8696B"/>
      </colorScale>
    </cfRule>
  </conditionalFormatting>
  <conditionalFormatting sqref="G34">
    <cfRule type="colorScale" priority="38">
      <colorScale>
        <cfvo type="min"/>
        <cfvo type="max"/>
        <color rgb="FFFCFCFF"/>
        <color rgb="FFF8696B"/>
      </colorScale>
    </cfRule>
  </conditionalFormatting>
  <conditionalFormatting sqref="H35">
    <cfRule type="colorScale" priority="37">
      <colorScale>
        <cfvo type="min"/>
        <cfvo type="max"/>
        <color rgb="FFFCFCFF"/>
        <color rgb="FFF8696B"/>
      </colorScale>
    </cfRule>
  </conditionalFormatting>
  <conditionalFormatting sqref="I35">
    <cfRule type="colorScale" priority="36">
      <colorScale>
        <cfvo type="min"/>
        <cfvo type="max"/>
        <color rgb="FFFCFCFF"/>
        <color rgb="FFF8696B"/>
      </colorScale>
    </cfRule>
  </conditionalFormatting>
  <conditionalFormatting sqref="G37:I44">
    <cfRule type="colorScale" priority="35">
      <colorScale>
        <cfvo type="min"/>
        <cfvo type="max"/>
        <color rgb="FFFCFCFF"/>
        <color rgb="FF63BE7B"/>
      </colorScale>
    </cfRule>
  </conditionalFormatting>
  <conditionalFormatting sqref="G46:I53">
    <cfRule type="colorScale" priority="34">
      <colorScale>
        <cfvo type="min"/>
        <cfvo type="max"/>
        <color rgb="FF63BE7B"/>
        <color rgb="FFFCFCFF"/>
      </colorScale>
    </cfRule>
  </conditionalFormatting>
  <conditionalFormatting sqref="H46">
    <cfRule type="colorScale" priority="33">
      <colorScale>
        <cfvo type="min"/>
        <cfvo type="max"/>
        <color rgb="FFFCFCFF"/>
        <color rgb="FFF8696B"/>
      </colorScale>
    </cfRule>
  </conditionalFormatting>
  <conditionalFormatting sqref="I46">
    <cfRule type="colorScale" priority="32">
      <colorScale>
        <cfvo type="min"/>
        <cfvo type="max"/>
        <color rgb="FFFCFCFF"/>
        <color rgb="FFF8696B"/>
      </colorScale>
    </cfRule>
  </conditionalFormatting>
  <conditionalFormatting sqref="H47">
    <cfRule type="colorScale" priority="30">
      <colorScale>
        <cfvo type="min"/>
        <cfvo type="max"/>
        <color rgb="FFFCFCFF"/>
        <color rgb="FFF8696B"/>
      </colorScale>
    </cfRule>
  </conditionalFormatting>
  <conditionalFormatting sqref="I47">
    <cfRule type="colorScale" priority="29">
      <colorScale>
        <cfvo type="min"/>
        <cfvo type="max"/>
        <color rgb="FFFCFCFF"/>
        <color rgb="FFF8696B"/>
      </colorScale>
    </cfRule>
  </conditionalFormatting>
  <conditionalFormatting sqref="H48">
    <cfRule type="colorScale" priority="28">
      <colorScale>
        <cfvo type="min"/>
        <cfvo type="max"/>
        <color rgb="FFFCFCFF"/>
        <color rgb="FFF8696B"/>
      </colorScale>
    </cfRule>
  </conditionalFormatting>
  <conditionalFormatting sqref="H50">
    <cfRule type="colorScale" priority="27">
      <colorScale>
        <cfvo type="min"/>
        <cfvo type="max"/>
        <color rgb="FFFCFCFF"/>
        <color rgb="FFF8696B"/>
      </colorScale>
    </cfRule>
  </conditionalFormatting>
  <conditionalFormatting sqref="G51">
    <cfRule type="colorScale" priority="26">
      <colorScale>
        <cfvo type="min"/>
        <cfvo type="max"/>
        <color rgb="FFFCFCFF"/>
        <color rgb="FFF8696B"/>
      </colorScale>
    </cfRule>
  </conditionalFormatting>
  <conditionalFormatting sqref="I51">
    <cfRule type="colorScale" priority="25">
      <colorScale>
        <cfvo type="min"/>
        <cfvo type="max"/>
        <color rgb="FFF8696B"/>
        <color rgb="FFFCFCFF"/>
      </colorScale>
    </cfRule>
  </conditionalFormatting>
  <conditionalFormatting sqref="I52">
    <cfRule type="colorScale" priority="24">
      <colorScale>
        <cfvo type="min"/>
        <cfvo type="max"/>
        <color rgb="FFFCFCFF"/>
        <color rgb="FFF8696B"/>
      </colorScale>
    </cfRule>
  </conditionalFormatting>
  <conditionalFormatting sqref="G52">
    <cfRule type="colorScale" priority="23">
      <colorScale>
        <cfvo type="min"/>
        <cfvo type="max"/>
        <color rgb="FFFCFCFF"/>
        <color rgb="FFF8696B"/>
      </colorScale>
    </cfRule>
  </conditionalFormatting>
  <conditionalFormatting sqref="G53">
    <cfRule type="colorScale" priority="22">
      <colorScale>
        <cfvo type="min"/>
        <cfvo type="max"/>
        <color rgb="FFFCFCFF"/>
        <color rgb="FFF8696B"/>
      </colorScale>
    </cfRule>
  </conditionalFormatting>
  <conditionalFormatting sqref="H53">
    <cfRule type="colorScale" priority="21">
      <colorScale>
        <cfvo type="min"/>
        <cfvo type="max"/>
        <color rgb="FFFCFCFF"/>
        <color rgb="FFF8696B"/>
      </colorScale>
    </cfRule>
  </conditionalFormatting>
  <conditionalFormatting sqref="I53">
    <cfRule type="colorScale" priority="20">
      <colorScale>
        <cfvo type="min"/>
        <cfvo type="max"/>
        <color rgb="FFFCFCFF"/>
        <color rgb="FFF8696B"/>
      </colorScale>
    </cfRule>
  </conditionalFormatting>
  <conditionalFormatting sqref="G55:I62 G63:G81">
    <cfRule type="colorScale" priority="19">
      <colorScale>
        <cfvo type="min"/>
        <cfvo type="max"/>
        <color rgb="FFFCFCFF"/>
        <color rgb="FF63BE7B"/>
      </colorScale>
    </cfRule>
  </conditionalFormatting>
  <conditionalFormatting sqref="G64:I71 I73:I74 H72:H77 G72:G81">
    <cfRule type="colorScale" priority="18">
      <colorScale>
        <cfvo type="min"/>
        <cfvo type="max"/>
        <color rgb="FF63BE7B"/>
        <color rgb="FFFCFCFF"/>
      </colorScale>
    </cfRule>
  </conditionalFormatting>
  <conditionalFormatting sqref="H64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4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5">
    <cfRule type="colorScale" priority="15">
      <colorScale>
        <cfvo type="min"/>
        <cfvo type="max"/>
        <color rgb="FFFCFCFF"/>
        <color rgb="FFF8696B"/>
      </colorScale>
    </cfRule>
  </conditionalFormatting>
  <conditionalFormatting sqref="I65">
    <cfRule type="colorScale" priority="14">
      <colorScale>
        <cfvo type="min"/>
        <cfvo type="max"/>
        <color rgb="FFFCFCFF"/>
        <color rgb="FFF8696B"/>
      </colorScale>
    </cfRule>
  </conditionalFormatting>
  <conditionalFormatting sqref="H66">
    <cfRule type="colorScale" priority="13">
      <colorScale>
        <cfvo type="min"/>
        <cfvo type="max"/>
        <color rgb="FFFCFCFF"/>
        <color rgb="FFF8696B"/>
      </colorScale>
    </cfRule>
  </conditionalFormatting>
  <conditionalFormatting sqref="I6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70">
    <cfRule type="colorScale" priority="11">
      <colorScale>
        <cfvo type="min"/>
        <cfvo type="max"/>
        <color rgb="FFFCFCFF"/>
        <color rgb="FFF8696B"/>
      </colorScale>
    </cfRule>
  </conditionalFormatting>
  <conditionalFormatting sqref="I73:I74 H71:H77">
    <cfRule type="colorScale" priority="10">
      <colorScale>
        <cfvo type="min"/>
        <cfvo type="max"/>
        <color rgb="FFFCFCFF"/>
        <color rgb="FFF8696B"/>
      </colorScale>
    </cfRule>
  </conditionalFormatting>
  <conditionalFormatting sqref="I7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3:I74">
    <cfRule type="colorScale" priority="8">
      <colorScale>
        <cfvo type="min"/>
        <cfvo type="max"/>
        <color rgb="FFFCFCFF"/>
        <color rgb="FF63BE7B"/>
      </colorScale>
    </cfRule>
  </conditionalFormatting>
  <conditionalFormatting sqref="H76:I77">
    <cfRule type="colorScale" priority="7">
      <colorScale>
        <cfvo type="min"/>
        <cfvo type="max"/>
        <color rgb="FFFCFCFF"/>
        <color rgb="FF63BE7B"/>
      </colorScale>
    </cfRule>
  </conditionalFormatting>
  <conditionalFormatting sqref="G79:I81">
    <cfRule type="colorScale" priority="4">
      <colorScale>
        <cfvo type="min"/>
        <cfvo type="max"/>
        <color rgb="FFFCFCFF"/>
        <color rgb="FFF8696B"/>
      </colorScale>
    </cfRule>
  </conditionalFormatting>
  <conditionalFormatting sqref="H81">
    <cfRule type="colorScale" priority="2">
      <colorScale>
        <cfvo type="min"/>
        <cfvo type="max"/>
        <color rgb="FFFCFCFF"/>
        <color rgb="FF63BE7B"/>
      </colorScale>
    </cfRule>
  </conditionalFormatting>
  <conditionalFormatting sqref="I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7F8AE775-845E-4FD6-9880-67C2E1CAFD0D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Sheet1!C46:E46</xm:f>
              <xm:sqref>F46</xm:sqref>
            </x14:sparkline>
            <x14:sparkline>
              <xm:f>Sheet1!C47:E47</xm:f>
              <xm:sqref>F47</xm:sqref>
            </x14:sparkline>
            <x14:sparkline>
              <xm:f>Sheet1!C48:E48</xm:f>
              <xm:sqref>F48</xm:sqref>
            </x14:sparkline>
            <x14:sparkline>
              <xm:f>Sheet1!C49:E49</xm:f>
              <xm:sqref>F49</xm:sqref>
            </x14:sparkline>
            <x14:sparkline>
              <xm:f>Sheet1!C50:E50</xm:f>
              <xm:sqref>F50</xm:sqref>
            </x14:sparkline>
            <x14:sparkline>
              <xm:f>Sheet1!C51:E51</xm:f>
              <xm:sqref>F51</xm:sqref>
            </x14:sparkline>
            <x14:sparkline>
              <xm:f>Sheet1!C52:E52</xm:f>
              <xm:sqref>F52</xm:sqref>
            </x14:sparkline>
            <x14:sparkline>
              <xm:f>Sheet1!C53:E53</xm:f>
              <xm:sqref>F53</xm:sqref>
            </x14:sparkline>
            <x14:sparkline>
              <xm:f>Sheet1!C54:E54</xm:f>
              <xm:sqref>F54</xm:sqref>
            </x14:sparkline>
          </x14:sparklines>
        </x14:sparklineGroup>
        <x14:sparklineGroup displayEmptyCellsAs="gap" high="1" low="1" xr2:uid="{671C1639-29C3-4D7A-9BCE-74D3DD2389B8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Sheet1!C56:E56</xm:f>
              <xm:sqref>F56</xm:sqref>
            </x14:sparkline>
            <x14:sparkline>
              <xm:f>Sheet1!C57:E57</xm:f>
              <xm:sqref>F57</xm:sqref>
            </x14:sparkline>
            <x14:sparkline>
              <xm:f>Sheet1!C58:E58</xm:f>
              <xm:sqref>F58</xm:sqref>
            </x14:sparkline>
            <x14:sparkline>
              <xm:f>Sheet1!C59:E59</xm:f>
              <xm:sqref>F59</xm:sqref>
            </x14:sparkline>
            <x14:sparkline>
              <xm:f>Sheet1!C60:E60</xm:f>
              <xm:sqref>F60</xm:sqref>
            </x14:sparkline>
            <x14:sparkline>
              <xm:f>Sheet1!C61:E61</xm:f>
              <xm:sqref>F61</xm:sqref>
            </x14:sparkline>
            <x14:sparkline>
              <xm:f>Sheet1!C62:E62</xm:f>
              <xm:sqref>F62</xm:sqref>
            </x14:sparkline>
            <x14:sparkline>
              <xm:f>Sheet1!C63:E63</xm:f>
              <xm:sqref>F63</xm:sqref>
            </x14:sparkline>
            <x14:sparkline>
              <xm:f>Sheet1!C64:E64</xm:f>
              <xm:sqref>F64</xm:sqref>
            </x14:sparkline>
            <x14:sparkline>
              <xm:f>Sheet1!C65:E65</xm:f>
              <xm:sqref>F65</xm:sqref>
            </x14:sparkline>
            <x14:sparkline>
              <xm:f>Sheet1!C66:E66</xm:f>
              <xm:sqref>F66</xm:sqref>
            </x14:sparkline>
            <x14:sparkline>
              <xm:f>Sheet1!C67:E67</xm:f>
              <xm:sqref>F67</xm:sqref>
            </x14:sparkline>
            <x14:sparkline>
              <xm:f>Sheet1!C68:E68</xm:f>
              <xm:sqref>F68</xm:sqref>
            </x14:sparkline>
            <x14:sparkline>
              <xm:f>Sheet1!C69:E69</xm:f>
              <xm:sqref>F69</xm:sqref>
            </x14:sparkline>
            <x14:sparkline>
              <xm:f>Sheet1!C70:E70</xm:f>
              <xm:sqref>F70</xm:sqref>
            </x14:sparkline>
            <x14:sparkline>
              <xm:f>Sheet1!C71:E71</xm:f>
              <xm:sqref>F71</xm:sqref>
            </x14:sparkline>
            <x14:sparkline>
              <xm:f>Sheet1!C72:E72</xm:f>
              <xm:sqref>F72</xm:sqref>
            </x14:sparkline>
            <x14:sparkline>
              <xm:f>Sheet1!C73:E73</xm:f>
              <xm:sqref>F73</xm:sqref>
            </x14:sparkline>
            <x14:sparkline>
              <xm:f>Sheet1!C74:E74</xm:f>
              <xm:sqref>F74</xm:sqref>
            </x14:sparkline>
            <x14:sparkline>
              <xm:f>Sheet1!C75:E75</xm:f>
              <xm:sqref>F75</xm:sqref>
            </x14:sparkline>
            <x14:sparkline>
              <xm:f>Sheet1!C76:E76</xm:f>
              <xm:sqref>F76</xm:sqref>
            </x14:sparkline>
            <x14:sparkline>
              <xm:f>Sheet1!C77:E77</xm:f>
              <xm:sqref>F77</xm:sqref>
            </x14:sparkline>
            <x14:sparkline>
              <xm:f>Sheet1!C78:E78</xm:f>
              <xm:sqref>F78</xm:sqref>
            </x14:sparkline>
            <x14:sparkline>
              <xm:f>Sheet1!C79:E79</xm:f>
              <xm:sqref>F79</xm:sqref>
            </x14:sparkline>
            <x14:sparkline>
              <xm:f>Sheet1!C80:E80</xm:f>
              <xm:sqref>F80</xm:sqref>
            </x14:sparkline>
            <x14:sparkline>
              <xm:f>Sheet1!C81:E81</xm:f>
              <xm:sqref>F81</xm:sqref>
            </x14:sparkline>
          </x14:sparklines>
        </x14:sparklineGroup>
        <x14:sparklineGroup displayEmptyCellsAs="gap" high="1" low="1" xr2:uid="{BDD334D0-3DFD-4B2D-82E9-EF16508008C8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  <x14:sparkline>
              <xm:f>Sheet1!C38:E38</xm:f>
              <xm:sqref>F38</xm:sqref>
            </x14:sparkline>
            <x14:sparkline>
              <xm:f>Sheet1!C39:E39</xm:f>
              <xm:sqref>F39</xm:sqref>
            </x14:sparkline>
            <x14:sparkline>
              <xm:f>Sheet1!C40:E40</xm:f>
              <xm:sqref>F40</xm:sqref>
            </x14:sparkline>
            <x14:sparkline>
              <xm:f>Sheet1!C41:E41</xm:f>
              <xm:sqref>F41</xm:sqref>
            </x14:sparkline>
            <x14:sparkline>
              <xm:f>Sheet1!C42:E42</xm:f>
              <xm:sqref>F42</xm:sqref>
            </x14:sparkline>
            <x14:sparkline>
              <xm:f>Sheet1!C43:E43</xm:f>
              <xm:sqref>F43</xm:sqref>
            </x14:sparkline>
            <x14:sparkline>
              <xm:f>Sheet1!C44:E44</xm:f>
              <xm:sqref>F44</xm:sqref>
            </x14:sparkline>
            <x14:sparkline>
              <xm:f>Sheet1!C45:E45</xm:f>
              <xm:sqref>F45</xm:sqref>
            </x14:sparkline>
            <x14:sparkline>
              <xm:f>Sheet1!C55:E55</xm:f>
              <xm:sqref>F55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2026-05-01T18:47:49Z</dcterms:modified>
</cp:coreProperties>
</file>