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1442badc355889/Desktop/Deloitte UK Reports Review (FY19-24)/Data Reports/Reports (FY21-23)/"/>
    </mc:Choice>
  </mc:AlternateContent>
  <xr:revisionPtr revIDLastSave="49" documentId="11_F25DC773A252ABDACC10483CE91C4E9C5BDE58F1" xr6:coauthVersionLast="47" xr6:coauthVersionMax="47" xr10:uidLastSave="{C6B19075-BB3F-4245-B915-3574249B59D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I8" i="1"/>
  <c r="H8" i="1"/>
  <c r="G8" i="1"/>
  <c r="I7" i="1"/>
  <c r="H7" i="1"/>
  <c r="G7" i="1"/>
  <c r="I6" i="1"/>
  <c r="H6" i="1"/>
  <c r="G6" i="1"/>
  <c r="I5" i="1"/>
  <c r="H5" i="1"/>
  <c r="G5" i="1"/>
  <c r="I3" i="1"/>
  <c r="H3" i="1"/>
  <c r="I2" i="1"/>
  <c r="H2" i="1"/>
  <c r="G2" i="1"/>
</calcChain>
</file>

<file path=xl/sharedStrings.xml><?xml version="1.0" encoding="utf-8"?>
<sst xmlns="http://schemas.openxmlformats.org/spreadsheetml/2006/main" count="17" uniqueCount="17">
  <si>
    <t>METRIC</t>
  </si>
  <si>
    <t>CATEGORY</t>
  </si>
  <si>
    <t>FY21</t>
  </si>
  <si>
    <t>FY22</t>
  </si>
  <si>
    <t>YEARLY TRENDS</t>
  </si>
  <si>
    <t>YoY (20-21)</t>
  </si>
  <si>
    <t>YoY (21-22)</t>
  </si>
  <si>
    <t>CAGR</t>
  </si>
  <si>
    <t>5 Million Futures Societal Impact</t>
  </si>
  <si>
    <t>Total Futures impacted as part of 5 Million Futures strategy</t>
  </si>
  <si>
    <t>Total Number of society partnerships</t>
  </si>
  <si>
    <t>Community Contribution</t>
  </si>
  <si>
    <t>Total community contribution</t>
  </si>
  <si>
    <t>Number of commmunity volunteers</t>
  </si>
  <si>
    <t>Community volunteering hours</t>
  </si>
  <si>
    <t>Number of pro bono hours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</si>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</sst>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9" fontId="0" fillId="0" borderId="0" xfId="1" applyFont="1"/>
    <xf numFmtId="164" fontId="2" fillId="0" borderId="0" xfId="0" applyNumberFormat="1" applyFont="1"/>
  </cellXfs>
  <cellStyles count="2">
    <cellStyle name="Normal" xfId="0" builtinId="0"/>
    <cellStyle name="Percent" xfId="1" builtinId="5"/>
  </cellStyles>
  <dxfs count="2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76382-21E5-4871-9386-0F3FBEDB7D54}" name="Table3" displayName="Table3" ref="A1:I8" totalsRowShown="0" headerRowDxfId="1">
  <autoFilter ref="A1:I8" xr:uid="{15476382-21E5-4871-9386-0F3FBEDB7D54}"/>
  <tableColumns count="9">
    <tableColumn id="1" xr3:uid="{6E693861-F571-42E5-82A1-0DF28FD206BD}" name="METRIC" dataDxfId="0"/>
    <tableColumn id="2" xr3:uid="{6E85E549-38E2-49FE-BDBD-AA3B91D977FC}" name="CATEGORY"/>
    <tableColumn id="3" xr3:uid="{C6011F2D-90E6-4F3D-A19B-9EE2AC175E48}" name="FY21"/>
    <tableColumn id="4" xr3:uid="{02D8B237-4E2C-4005-BAB2-03A353228A71}" name="FY22"/>
    <tableColumn id="5" xr3:uid="{432142F6-6ED0-452A-80A9-AFFD5D302413}" name="FY23"/>
    <tableColumn id="6" xr3:uid="{806A7E4E-4F0E-4FB4-9560-FD7D8B982871}" name="YEARLY TRENDS"/>
    <tableColumn id="7" xr3:uid="{A687D7C5-FFC5-4255-83F1-443096F5B48A}" name="YoY (20-21)" dataCellStyle="Percent">
      <calculatedColumnFormula>(Table3[[#This Row],[FY22]]-Table3[[#This Row],[FY21]])/Table3[[#This Row],[FY21]]</calculatedColumnFormula>
    </tableColumn>
    <tableColumn id="8" xr3:uid="{B5696E96-00FE-45F4-894B-22CA41408024}" name="YoY (21-22)" dataCellStyle="Percent">
      <calculatedColumnFormula>(Table3[[#This Row],[FY23]]-Table3[[#This Row],[FY22]])/Table3[[#This Row],[FY22]]</calculatedColumnFormula>
    </tableColumn>
    <tableColumn id="9" xr3:uid="{AAE89095-A0F9-4A77-97A0-51561EDFAEAE}" name="CAGR" dataCellStyle="Percent">
      <calculatedColumnFormula>((Table3[[#This Row],[FY23]]/Table3[[#This Row],[FY21]])^0.5)-1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1" zoomScale="145" zoomScaleNormal="145" workbookViewId="0">
      <selection activeCell="J6" sqref="J6"/>
    </sheetView>
  </sheetViews>
  <sheetFormatPr defaultRowHeight="14.4" x14ac:dyDescent="0.3"/>
  <cols>
    <col min="1" max="1" width="28.77734375" customWidth="1"/>
    <col min="2" max="2" width="50.33203125" customWidth="1"/>
    <col min="3" max="3" width="12" customWidth="1"/>
    <col min="4" max="4" width="12.109375" customWidth="1"/>
    <col min="5" max="5" width="12.777343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t="s">
        <v>9</v>
      </c>
      <c r="C2" s="4">
        <v>356337</v>
      </c>
      <c r="D2" s="4">
        <v>344548</v>
      </c>
      <c r="E2" s="4">
        <v>638174</v>
      </c>
      <c r="G2" s="5">
        <f>(Table3[[#This Row],[FY22]]-Table3[[#This Row],[FY21]])/Table3[[#This Row],[FY21]]</f>
        <v>-3.3083850400042657E-2</v>
      </c>
      <c r="H2" s="5">
        <f>(Table3[[#This Row],[FY23]]-Table3[[#This Row],[FY22]])/Table3[[#This Row],[FY22]]</f>
        <v>0.85220636892392354</v>
      </c>
      <c r="I2" s="5">
        <f>((Table3[[#This Row],[FY23]]/Table3[[#This Row],[FY21]])^0.5)-1</f>
        <v>0.3382556745646319</v>
      </c>
    </row>
    <row r="3" spans="1:9" x14ac:dyDescent="0.3">
      <c r="A3" s="3"/>
      <c r="B3" t="s">
        <v>10</v>
      </c>
      <c r="C3">
        <v>70</v>
      </c>
      <c r="D3">
        <v>86</v>
      </c>
      <c r="E3">
        <v>91</v>
      </c>
      <c r="G3" s="5">
        <f>(Table3[[#This Row],[FY22]]-Table3[[#This Row],[FY21]])/Table3[[#This Row],[FY21]]</f>
        <v>0.22857142857142856</v>
      </c>
      <c r="H3" s="5">
        <f>(Table3[[#This Row],[FY23]]-Table3[[#This Row],[FY22]])/Table3[[#This Row],[FY22]]</f>
        <v>5.8139534883720929E-2</v>
      </c>
      <c r="I3" s="5">
        <f>((Table3[[#This Row],[FY23]]/Table3[[#This Row],[FY21]])^0.5)-1</f>
        <v>0.14017542509913805</v>
      </c>
    </row>
    <row r="4" spans="1:9" x14ac:dyDescent="0.3">
      <c r="A4" s="3"/>
      <c r="G4" s="5"/>
      <c r="H4" s="5"/>
      <c r="I4" s="5"/>
    </row>
    <row r="5" spans="1:9" x14ac:dyDescent="0.3">
      <c r="A5" s="3" t="s">
        <v>11</v>
      </c>
      <c r="B5" s="3" t="s">
        <v>12</v>
      </c>
      <c r="C5" s="6">
        <v>6900000</v>
      </c>
      <c r="D5" s="6">
        <v>8000000</v>
      </c>
      <c r="E5" s="6">
        <v>10400000</v>
      </c>
      <c r="G5" s="5">
        <f>(Table3[[#This Row],[FY22]]-Table3[[#This Row],[FY21]])/Table3[[#This Row],[FY21]]</f>
        <v>0.15942028985507245</v>
      </c>
      <c r="H5" s="5">
        <f>(Table3[[#This Row],[FY23]]-Table3[[#This Row],[FY22]])/Table3[[#This Row],[FY22]]</f>
        <v>0.3</v>
      </c>
      <c r="I5" s="5">
        <f>((Table3[[#This Row],[FY23]]/Table3[[#This Row],[FY21]])^0.5)-1</f>
        <v>0.22769962808970257</v>
      </c>
    </row>
    <row r="6" spans="1:9" x14ac:dyDescent="0.3">
      <c r="A6" s="3"/>
      <c r="B6" t="s">
        <v>13</v>
      </c>
      <c r="C6" s="4">
        <v>2920</v>
      </c>
      <c r="D6" s="4">
        <v>3537</v>
      </c>
      <c r="E6" s="4">
        <v>4966</v>
      </c>
      <c r="G6" s="5">
        <f>(Table3[[#This Row],[FY22]]-Table3[[#This Row],[FY21]])/Table3[[#This Row],[FY21]]</f>
        <v>0.2113013698630137</v>
      </c>
      <c r="H6" s="5">
        <f>(Table3[[#This Row],[FY23]]-Table3[[#This Row],[FY22]])/Table3[[#This Row],[FY22]]</f>
        <v>0.40401470172462539</v>
      </c>
      <c r="I6" s="5">
        <f>((Table3[[#This Row],[FY23]]/Table3[[#This Row],[FY21]])^0.5)-1</f>
        <v>0.30410311383220368</v>
      </c>
    </row>
    <row r="7" spans="1:9" x14ac:dyDescent="0.3">
      <c r="A7" s="3"/>
      <c r="B7" t="s">
        <v>14</v>
      </c>
      <c r="C7" s="4">
        <v>23243</v>
      </c>
      <c r="D7" s="4">
        <v>31716</v>
      </c>
      <c r="E7" s="4">
        <v>52056</v>
      </c>
      <c r="G7" s="5">
        <f>(Table3[[#This Row],[FY22]]-Table3[[#This Row],[FY21]])/Table3[[#This Row],[FY21]]</f>
        <v>0.36453986146366646</v>
      </c>
      <c r="H7" s="5">
        <f>(Table3[[#This Row],[FY23]]-Table3[[#This Row],[FY22]])/Table3[[#This Row],[FY22]]</f>
        <v>0.64131668558456301</v>
      </c>
      <c r="I7" s="5">
        <f>((Table3[[#This Row],[FY23]]/Table3[[#This Row],[FY21]])^0.5)-1</f>
        <v>0.49654336481291583</v>
      </c>
    </row>
    <row r="8" spans="1:9" x14ac:dyDescent="0.3">
      <c r="A8" s="3"/>
      <c r="B8" t="s">
        <v>15</v>
      </c>
      <c r="C8" s="4">
        <v>11946</v>
      </c>
      <c r="D8" s="4">
        <v>9727</v>
      </c>
      <c r="E8" s="4">
        <v>12566</v>
      </c>
      <c r="G8" s="5">
        <f>(Table3[[#This Row],[FY22]]-Table3[[#This Row],[FY21]])/Table3[[#This Row],[FY21]]</f>
        <v>-0.18575255315586808</v>
      </c>
      <c r="H8" s="5">
        <f>(Table3[[#This Row],[FY23]]-Table3[[#This Row],[FY22]])/Table3[[#This Row],[FY22]]</f>
        <v>0.29186799629896165</v>
      </c>
      <c r="I8" s="5">
        <f>((Table3[[#This Row],[FY23]]/Table3[[#This Row],[FY21]])^0.5)-1</f>
        <v>2.562186874406791E-2</v>
      </c>
    </row>
  </sheetData>
  <conditionalFormatting sqref="G2">
    <cfRule type="colorScale" priority="4">
      <colorScale>
        <cfvo type="min"/>
        <cfvo type="max"/>
        <color rgb="FFFCFCFF"/>
        <color rgb="FFF8696B"/>
      </colorScale>
    </cfRule>
  </conditionalFormatting>
  <conditionalFormatting sqref="G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:I4"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I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I4">
    <cfRule type="colorScale" priority="6">
      <colorScale>
        <cfvo type="min"/>
        <cfvo type="max"/>
        <color rgb="FFFCFCFF"/>
        <color rgb="FF63BE7B"/>
      </colorScale>
    </cfRule>
  </conditionalFormatting>
  <conditionalFormatting sqref="G5:I8">
    <cfRule type="colorScale" priority="2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A0878518-0AD6-4721-94DB-674E51FEA849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</x14:sparklines>
        </x14:sparklineGroup>
        <x14:sparklineGroup displayEmptyCellsAs="gap" high="1" low="1" xr2:uid="{72B6C840-71E6-43D3-95F5-8F08B8A80BF6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2026-05-01T18:02:07Z</dcterms:modified>
</cp:coreProperties>
</file>