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2-24)\"/>
    </mc:Choice>
  </mc:AlternateContent>
  <xr:revisionPtr revIDLastSave="0" documentId="13_ncr:1_{E146A8F7-EF51-4FD3-B1AD-14F274430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D21" i="1"/>
  <c r="C21" i="1"/>
  <c r="E2" i="1"/>
  <c r="D2" i="1"/>
  <c r="C2" i="1"/>
  <c r="I43" i="1"/>
  <c r="G43" i="1"/>
  <c r="G23" i="1"/>
  <c r="E21" i="1"/>
  <c r="I16" i="1"/>
  <c r="H43" i="1"/>
  <c r="I41" i="1"/>
  <c r="H41" i="1"/>
  <c r="G41" i="1"/>
  <c r="I40" i="1"/>
  <c r="H40" i="1"/>
  <c r="G40" i="1"/>
  <c r="I39" i="1"/>
  <c r="H39" i="1"/>
  <c r="G39" i="1"/>
  <c r="I37" i="1"/>
  <c r="H37" i="1"/>
  <c r="G37" i="1"/>
  <c r="I35" i="1"/>
  <c r="H35" i="1"/>
  <c r="G35" i="1"/>
  <c r="I32" i="1"/>
  <c r="H32" i="1"/>
  <c r="G32" i="1"/>
  <c r="I31" i="1"/>
  <c r="H31" i="1"/>
  <c r="G31" i="1"/>
  <c r="I30" i="1"/>
  <c r="H30" i="1"/>
  <c r="G30" i="1"/>
  <c r="I29" i="1"/>
  <c r="H29" i="1"/>
  <c r="G29" i="1"/>
  <c r="I27" i="1"/>
  <c r="H27" i="1"/>
  <c r="G27" i="1"/>
  <c r="I26" i="1"/>
  <c r="H26" i="1"/>
  <c r="I25" i="1"/>
  <c r="H25" i="1"/>
  <c r="G25" i="1"/>
  <c r="I24" i="1"/>
  <c r="H24" i="1"/>
  <c r="G24" i="1"/>
  <c r="I23" i="1"/>
  <c r="H23" i="1"/>
  <c r="I20" i="1"/>
  <c r="H20" i="1"/>
  <c r="G20" i="1"/>
  <c r="I19" i="1"/>
  <c r="H19" i="1"/>
  <c r="G19" i="1"/>
  <c r="I17" i="1"/>
  <c r="H17" i="1"/>
  <c r="G17" i="1"/>
  <c r="I15" i="1"/>
  <c r="H15" i="1"/>
  <c r="G15" i="1"/>
  <c r="I14" i="1"/>
  <c r="H14" i="1"/>
  <c r="G14" i="1"/>
  <c r="I13" i="1"/>
  <c r="H13" i="1"/>
  <c r="G13" i="1"/>
  <c r="G12" i="1"/>
  <c r="I10" i="1"/>
  <c r="H10" i="1"/>
  <c r="G10" i="1"/>
  <c r="G6" i="1"/>
  <c r="I4" i="1"/>
  <c r="H4" i="1"/>
  <c r="G4" i="1"/>
  <c r="I3" i="1"/>
  <c r="H3" i="1"/>
  <c r="G3" i="1"/>
  <c r="I21" i="1" l="1"/>
  <c r="G21" i="1"/>
  <c r="H21" i="1"/>
  <c r="I12" i="1"/>
  <c r="H16" i="1"/>
  <c r="G16" i="1"/>
  <c r="G2" i="1"/>
  <c r="H12" i="1"/>
  <c r="H2" i="1"/>
</calcChain>
</file>

<file path=xl/sharedStrings.xml><?xml version="1.0" encoding="utf-8"?>
<sst xmlns="http://schemas.openxmlformats.org/spreadsheetml/2006/main" count="70" uniqueCount="45">
  <si>
    <t>METRIC</t>
  </si>
  <si>
    <t>CATEGORY</t>
  </si>
  <si>
    <t>FY22</t>
  </si>
  <si>
    <t>YEARLY TRENDS</t>
  </si>
  <si>
    <t>CAGR</t>
  </si>
  <si>
    <t>Greenhouse Gas emission (tCO2)</t>
  </si>
  <si>
    <t>Scope 1</t>
  </si>
  <si>
    <t>Fuel combustion</t>
  </si>
  <si>
    <t>Vehicle fleet (Internal combustion engine)</t>
  </si>
  <si>
    <t>Scope 2</t>
  </si>
  <si>
    <t>Electricity (market-based)</t>
  </si>
  <si>
    <t>NA</t>
  </si>
  <si>
    <t>District heating and cooling</t>
  </si>
  <si>
    <t>Vehicle fleet (Electric; market-based)</t>
  </si>
  <si>
    <t>Total Operational Emissions</t>
  </si>
  <si>
    <t>Scope 3</t>
  </si>
  <si>
    <t>Business travel (excl. radiative forcing)</t>
  </si>
  <si>
    <t>Purchased goods and services</t>
  </si>
  <si>
    <t>Employee commuting and homeworking</t>
  </si>
  <si>
    <t>Total Gross Emissions</t>
  </si>
  <si>
    <t>Certified Emission Reductions (CERs)</t>
  </si>
  <si>
    <t>Normalised Emissions (tCO2/FTE)</t>
  </si>
  <si>
    <t>Scopes 1 &amp; 2</t>
  </si>
  <si>
    <t>Total Gross</t>
  </si>
  <si>
    <t>Other Environmental Metrics</t>
  </si>
  <si>
    <t>Fuel Consumption (kWh)</t>
  </si>
  <si>
    <t>Owned Vehicles, Internal combustion engine</t>
  </si>
  <si>
    <t>Owned Vehicles, Electric</t>
  </si>
  <si>
    <t>% of electric/plug-in hybrid vehicles in fleet</t>
  </si>
  <si>
    <t>Reimbursed Mileage &amp; Car Rentals</t>
  </si>
  <si>
    <t>Utilities Consumption (kWh)</t>
  </si>
  <si>
    <t>Gas</t>
  </si>
  <si>
    <t>% electricity from renewables</t>
  </si>
  <si>
    <t>District Cooling</t>
  </si>
  <si>
    <t xml:space="preserve">District Heating </t>
  </si>
  <si>
    <t>Total Energy Consumption (kWh)</t>
  </si>
  <si>
    <t>Water Usage (m3)</t>
  </si>
  <si>
    <t>Waste production (tonnes)</t>
  </si>
  <si>
    <t>Recycled (%)</t>
  </si>
  <si>
    <t>Diverted from Landfill (%)</t>
  </si>
  <si>
    <t>% of DTTL supply chain (by emissions) with science-based Target (SBT)</t>
  </si>
  <si>
    <t>FY23</t>
  </si>
  <si>
    <t>YoY (22-23)</t>
  </si>
  <si>
    <t>FY24</t>
  </si>
  <si>
    <t>YoY 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</si>
</sst>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9" fontId="4" fillId="0" borderId="0" xfId="1" applyFont="1" applyAlignment="1">
      <alignment horizontal="center" vertical="center"/>
    </xf>
    <xf numFmtId="3" fontId="0" fillId="0" borderId="0" xfId="0" applyNumberFormat="1"/>
    <xf numFmtId="9" fontId="0" fillId="0" borderId="0" xfId="1" applyFont="1" applyAlignment="1">
      <alignment horizontal="center"/>
    </xf>
    <xf numFmtId="3" fontId="2" fillId="0" borderId="0" xfId="0" applyNumberFormat="1" applyFont="1"/>
    <xf numFmtId="9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9CBB9-54C8-4D42-A476-A72E8B92E0DD}" name="Table1" displayName="Table1" ref="A1:I43" totalsRowShown="0" headerRowDxfId="4">
  <autoFilter ref="A1:I43" xr:uid="{7799CBB9-54C8-4D42-A476-A72E8B92E0DD}"/>
  <tableColumns count="9">
    <tableColumn id="1" xr3:uid="{91D4F72B-2464-40B0-8BE6-2578DEEC3E65}" name="METRIC"/>
    <tableColumn id="2" xr3:uid="{EB46D1E2-C38F-4E53-AFE9-EF425C3BC5D8}" name="CATEGORY"/>
    <tableColumn id="3" xr3:uid="{5CA59553-1275-4FAD-8873-AB6ABF5461BF}" name="FY22"/>
    <tableColumn id="4" xr3:uid="{B141C83C-ED33-456A-A3A6-7BF8868E867C}" name="FY23"/>
    <tableColumn id="5" xr3:uid="{4E75197F-F507-4A1A-A694-D085A2DA6F41}" name="FY24"/>
    <tableColumn id="6" xr3:uid="{5A8ACC08-AD19-483B-BBC4-9EA9DAC86099}" name="YEARLY TRENDS" dataDxfId="3"/>
    <tableColumn id="7" xr3:uid="{FD0EA448-2D04-45DC-BE1F-ACF3C46D02FB}" name="YoY (22-23)" dataDxfId="2" dataCellStyle="Percent">
      <calculatedColumnFormula>(Table1[[#This Row],[FY23]]-Table1[[#This Row],[FY22]])/Table1[[#This Row],[FY22]]</calculatedColumnFormula>
    </tableColumn>
    <tableColumn id="8" xr3:uid="{96314308-FD02-4D75-8027-FA1214A740A2}" name="YoY (23-24)" dataDxfId="1" dataCellStyle="Percent">
      <calculatedColumnFormula>(Table1[[#This Row],[FY24]]-Table1[[#This Row],[FY23]])/Table1[[#This Row],[FY23]]</calculatedColumnFormula>
    </tableColumn>
    <tableColumn id="9" xr3:uid="{304D7017-F738-4EA2-92DD-FB57B7A32545}" name="CAGR" dataDxfId="0" dataCellStyle="Percent">
      <calculatedColumnFormula>((Table1[[#This Row],[FY24]]/Table1[[#This Row],[FY22]])^0.5)-1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H2" sqref="H2"/>
    </sheetView>
  </sheetViews>
  <sheetFormatPr defaultRowHeight="14.4" x14ac:dyDescent="0.3"/>
  <cols>
    <col min="1" max="1" width="29.6640625" customWidth="1"/>
    <col min="2" max="2" width="60.88671875" customWidth="1"/>
    <col min="3" max="3" width="13.88671875" customWidth="1"/>
    <col min="4" max="4" width="14.109375" customWidth="1"/>
    <col min="5" max="5" width="12.44140625" customWidth="1"/>
    <col min="6" max="6" width="20.44140625" customWidth="1"/>
    <col min="7" max="7" width="17.109375" customWidth="1"/>
    <col min="8" max="8" width="14.109375" customWidth="1"/>
    <col min="9" max="9" width="13.777343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41</v>
      </c>
      <c r="E1" s="1" t="s">
        <v>43</v>
      </c>
      <c r="F1" s="1" t="s">
        <v>3</v>
      </c>
      <c r="G1" s="2" t="s">
        <v>42</v>
      </c>
      <c r="H1" s="2" t="s">
        <v>44</v>
      </c>
      <c r="I1" s="2" t="s">
        <v>4</v>
      </c>
    </row>
    <row r="2" spans="1:9" ht="15.6" x14ac:dyDescent="0.3">
      <c r="A2" s="3" t="s">
        <v>5</v>
      </c>
      <c r="B2" s="4" t="s">
        <v>6</v>
      </c>
      <c r="C2" s="5">
        <f>C3+C4</f>
        <v>1981</v>
      </c>
      <c r="D2" s="5">
        <f>D3+D4</f>
        <v>1608</v>
      </c>
      <c r="E2" s="5">
        <f>E3+E4</f>
        <v>1643</v>
      </c>
      <c r="F2" s="1"/>
      <c r="G2" s="6">
        <f>(Table1[[#This Row],[FY23]]-Table1[[#This Row],[FY22]])/Table1[[#This Row],[FY22]]</f>
        <v>-0.18828874305906107</v>
      </c>
      <c r="H2" s="6">
        <f>(Table1[[#This Row],[FY24]]-Table1[[#This Row],[FY23]])/Table1[[#This Row],[FY23]]</f>
        <v>2.1766169154228857E-2</v>
      </c>
      <c r="I2" s="6">
        <f>((Table1[[#This Row],[FY24]]/Table1[[#This Row],[FY22]])^0.5)-1</f>
        <v>-8.9297468179698525E-2</v>
      </c>
    </row>
    <row r="3" spans="1:9" ht="15.6" x14ac:dyDescent="0.3">
      <c r="B3" t="s">
        <v>7</v>
      </c>
      <c r="C3" s="7">
        <v>1958</v>
      </c>
      <c r="D3" s="7">
        <v>1582</v>
      </c>
      <c r="E3" s="7">
        <v>1624</v>
      </c>
      <c r="F3" s="1"/>
      <c r="G3" s="8">
        <f>(Table1[[#This Row],[FY23]]-Table1[[#This Row],[FY22]])/Table1[[#This Row],[FY22]]</f>
        <v>-0.19203268641470889</v>
      </c>
      <c r="H3" s="8">
        <f>(Table1[[#This Row],[FY24]]-Table1[[#This Row],[FY23]])/Table1[[#This Row],[FY23]]</f>
        <v>2.6548672566371681E-2</v>
      </c>
      <c r="I3" s="8">
        <f>((Table1[[#This Row],[FY24]]/Table1[[#This Row],[FY22]])^0.5)-1</f>
        <v>-8.9276236590919988E-2</v>
      </c>
    </row>
    <row r="4" spans="1:9" ht="15.6" x14ac:dyDescent="0.3">
      <c r="B4" t="s">
        <v>8</v>
      </c>
      <c r="C4">
        <v>23</v>
      </c>
      <c r="D4">
        <v>26</v>
      </c>
      <c r="E4">
        <v>19</v>
      </c>
      <c r="F4" s="1"/>
      <c r="G4" s="8">
        <f>(Table1[[#This Row],[FY23]]-Table1[[#This Row],[FY22]])/Table1[[#This Row],[FY22]]</f>
        <v>0.13043478260869565</v>
      </c>
      <c r="H4" s="8">
        <f>(Table1[[#This Row],[FY24]]-Table1[[#This Row],[FY23]])/Table1[[#This Row],[FY23]]</f>
        <v>-0.26923076923076922</v>
      </c>
      <c r="I4" s="8">
        <f>((Table1[[#This Row],[FY24]]/Table1[[#This Row],[FY22]])^0.5)-1</f>
        <v>-9.1106740853614254E-2</v>
      </c>
    </row>
    <row r="5" spans="1:9" ht="15.6" x14ac:dyDescent="0.3">
      <c r="F5" s="1"/>
      <c r="G5" s="8"/>
      <c r="H5" s="8"/>
      <c r="I5" s="8"/>
    </row>
    <row r="6" spans="1:9" ht="15.6" x14ac:dyDescent="0.3">
      <c r="B6" s="3" t="s">
        <v>9</v>
      </c>
      <c r="C6" s="3">
        <v>133</v>
      </c>
      <c r="D6" s="3">
        <v>0</v>
      </c>
      <c r="E6" s="11">
        <v>0</v>
      </c>
      <c r="F6" s="1"/>
      <c r="G6" s="8">
        <f>(Table1[[#This Row],[FY23]]-Table1[[#This Row],[FY22]])/Table1[[#This Row],[FY22]]</f>
        <v>-1</v>
      </c>
      <c r="H6" s="8" t="s">
        <v>11</v>
      </c>
      <c r="I6" s="8" t="s">
        <v>11</v>
      </c>
    </row>
    <row r="7" spans="1:9" ht="15.6" x14ac:dyDescent="0.3">
      <c r="B7" t="s">
        <v>10</v>
      </c>
      <c r="C7" s="7">
        <v>0</v>
      </c>
      <c r="D7">
        <v>0</v>
      </c>
      <c r="E7">
        <v>0</v>
      </c>
      <c r="F7" s="1"/>
      <c r="G7" s="8" t="s">
        <v>11</v>
      </c>
      <c r="H7" s="8" t="s">
        <v>11</v>
      </c>
      <c r="I7" s="8" t="s">
        <v>11</v>
      </c>
    </row>
    <row r="8" spans="1:9" ht="15.6" x14ac:dyDescent="0.3">
      <c r="B8" t="s">
        <v>12</v>
      </c>
      <c r="C8">
        <v>133</v>
      </c>
      <c r="D8" s="12" t="s">
        <v>11</v>
      </c>
      <c r="E8" s="12" t="s">
        <v>11</v>
      </c>
      <c r="F8" s="1"/>
      <c r="G8" s="8" t="s">
        <v>11</v>
      </c>
      <c r="H8" s="8" t="s">
        <v>11</v>
      </c>
      <c r="I8" s="8" t="s">
        <v>11</v>
      </c>
    </row>
    <row r="9" spans="1:9" ht="15.6" x14ac:dyDescent="0.3">
      <c r="B9" t="s">
        <v>13</v>
      </c>
      <c r="C9">
        <v>0</v>
      </c>
      <c r="D9">
        <v>0</v>
      </c>
      <c r="E9">
        <v>0</v>
      </c>
      <c r="F9" s="1"/>
      <c r="G9" s="8" t="s">
        <v>11</v>
      </c>
      <c r="H9" s="8" t="s">
        <v>11</v>
      </c>
      <c r="I9" s="8" t="s">
        <v>11</v>
      </c>
    </row>
    <row r="10" spans="1:9" ht="15.6" x14ac:dyDescent="0.3">
      <c r="B10" t="s">
        <v>14</v>
      </c>
      <c r="C10" s="7">
        <v>2114</v>
      </c>
      <c r="D10" s="7">
        <v>1608</v>
      </c>
      <c r="E10" s="7">
        <v>1643</v>
      </c>
      <c r="F10" s="1"/>
      <c r="G10" s="8">
        <f>(Table1[[#This Row],[FY23]]-Table1[[#This Row],[FY22]])/Table1[[#This Row],[FY22]]</f>
        <v>-0.23935666982024598</v>
      </c>
      <c r="H10" s="8">
        <f>(Table1[[#This Row],[FY24]]-Table1[[#This Row],[FY23]])/Table1[[#This Row],[FY23]]</f>
        <v>2.1766169154228857E-2</v>
      </c>
      <c r="I10" s="8">
        <f>((Table1[[#This Row],[FY24]]/Table1[[#This Row],[FY22]])^0.5)-1</f>
        <v>-0.1184107410077625</v>
      </c>
    </row>
    <row r="11" spans="1:9" ht="15.6" x14ac:dyDescent="0.3">
      <c r="C11" s="7"/>
      <c r="D11" s="7"/>
      <c r="E11" s="7"/>
      <c r="F11" s="1"/>
      <c r="G11" s="8"/>
      <c r="H11" s="8"/>
      <c r="I11" s="8"/>
    </row>
    <row r="12" spans="1:9" ht="15.6" x14ac:dyDescent="0.3">
      <c r="B12" s="3" t="s">
        <v>15</v>
      </c>
      <c r="C12" s="9">
        <v>46453</v>
      </c>
      <c r="D12" s="9">
        <v>82535</v>
      </c>
      <c r="E12" s="9">
        <v>121218</v>
      </c>
      <c r="F12" s="1"/>
      <c r="G12" s="8">
        <f>(Table1[[#This Row],[FY23]]-Table1[[#This Row],[FY22]])/Table1[[#This Row],[FY22]]</f>
        <v>0.77674208339612083</v>
      </c>
      <c r="H12" s="8">
        <f>(Table1[[#This Row],[FY24]]-Table1[[#This Row],[FY23]])/Table1[[#This Row],[FY23]]</f>
        <v>0.46868601199491122</v>
      </c>
      <c r="I12" s="8">
        <f>((Table1[[#This Row],[FY24]]/Table1[[#This Row],[FY22]])^0.5)-1</f>
        <v>0.61538733584443417</v>
      </c>
    </row>
    <row r="13" spans="1:9" ht="15.6" x14ac:dyDescent="0.3">
      <c r="B13" t="s">
        <v>16</v>
      </c>
      <c r="C13" s="7">
        <v>8658</v>
      </c>
      <c r="D13" s="7">
        <v>22863</v>
      </c>
      <c r="E13" s="7">
        <v>38263</v>
      </c>
      <c r="F13" s="1"/>
      <c r="G13" s="8">
        <f>(Table1[[#This Row],[FY23]]-Table1[[#This Row],[FY22]])/Table1[[#This Row],[FY22]]</f>
        <v>1.6406791406791408</v>
      </c>
      <c r="H13" s="8">
        <f>(Table1[[#This Row],[FY24]]-Table1[[#This Row],[FY23]])/Table1[[#This Row],[FY23]]</f>
        <v>0.67357739579232823</v>
      </c>
      <c r="I13" s="8">
        <f>((Table1[[#This Row],[FY24]]/Table1[[#This Row],[FY22]])^0.5)-1</f>
        <v>1.102232365696266</v>
      </c>
    </row>
    <row r="14" spans="1:9" ht="15.6" x14ac:dyDescent="0.3">
      <c r="B14" t="s">
        <v>17</v>
      </c>
      <c r="C14" s="7">
        <v>67077</v>
      </c>
      <c r="D14" s="7">
        <v>91257</v>
      </c>
      <c r="E14" s="7">
        <v>21227</v>
      </c>
      <c r="F14" s="1"/>
      <c r="G14" s="8">
        <f>(Table1[[#This Row],[FY23]]-Table1[[#This Row],[FY22]])/Table1[[#This Row],[FY22]]</f>
        <v>0.36048123798023168</v>
      </c>
      <c r="H14" s="8">
        <f>(Table1[[#This Row],[FY24]]-Table1[[#This Row],[FY23]])/Table1[[#This Row],[FY23]]</f>
        <v>-0.7673931862761213</v>
      </c>
      <c r="I14" s="8">
        <f>((Table1[[#This Row],[FY24]]/Table1[[#This Row],[FY22]])^0.5)-1</f>
        <v>-0.43745470769217198</v>
      </c>
    </row>
    <row r="15" spans="1:9" ht="15.6" x14ac:dyDescent="0.3">
      <c r="B15" t="s">
        <v>18</v>
      </c>
      <c r="C15" s="7">
        <v>6800</v>
      </c>
      <c r="D15" s="7">
        <v>7098</v>
      </c>
      <c r="E15" s="7">
        <v>8256</v>
      </c>
      <c r="F15" s="1"/>
      <c r="G15" s="8">
        <f>(Table1[[#This Row],[FY23]]-Table1[[#This Row],[FY22]])/Table1[[#This Row],[FY22]]</f>
        <v>4.3823529411764706E-2</v>
      </c>
      <c r="H15" s="8">
        <f>(Table1[[#This Row],[FY24]]-Table1[[#This Row],[FY23]])/Table1[[#This Row],[FY23]]</f>
        <v>0.16314454775993237</v>
      </c>
      <c r="I15" s="8">
        <f>((Table1[[#This Row],[FY24]]/Table1[[#This Row],[FY22]])^0.5)-1</f>
        <v>0.10187006813817368</v>
      </c>
    </row>
    <row r="16" spans="1:9" ht="15.6" x14ac:dyDescent="0.3">
      <c r="B16" s="3" t="s">
        <v>19</v>
      </c>
      <c r="C16" s="9">
        <v>84649</v>
      </c>
      <c r="D16" s="9">
        <v>122826</v>
      </c>
      <c r="E16" s="9">
        <v>69659</v>
      </c>
      <c r="F16" s="1"/>
      <c r="G16" s="8">
        <f>(Table1[[#This Row],[FY23]]-Table1[[#This Row],[FY22]])/Table1[[#This Row],[FY22]]</f>
        <v>0.45100355586008106</v>
      </c>
      <c r="H16" s="8">
        <f>(Table1[[#This Row],[FY24]]-Table1[[#This Row],[FY23]])/Table1[[#This Row],[FY23]]</f>
        <v>-0.43286437724911664</v>
      </c>
      <c r="I16" s="8">
        <f>((Table1[[#This Row],[FY24]]/Table1[[#This Row],[FY22]])^0.5)-1</f>
        <v>-9.2852930740305317E-2</v>
      </c>
    </row>
    <row r="17" spans="1:9" ht="15.6" x14ac:dyDescent="0.3">
      <c r="B17" t="s">
        <v>20</v>
      </c>
      <c r="C17" s="7">
        <v>84649</v>
      </c>
      <c r="D17" s="7">
        <v>31569</v>
      </c>
      <c r="E17" s="7">
        <v>34830</v>
      </c>
      <c r="F17" s="1"/>
      <c r="G17" s="8">
        <f>(Table1[[#This Row],[FY23]]-Table1[[#This Row],[FY22]])/Table1[[#This Row],[FY22]]</f>
        <v>-0.62705997708183203</v>
      </c>
      <c r="H17" s="8">
        <f>(Table1[[#This Row],[FY24]]-Table1[[#This Row],[FY23]])/Table1[[#This Row],[FY23]]</f>
        <v>0.10329753872469828</v>
      </c>
      <c r="I17" s="8">
        <f>((Table1[[#This Row],[FY24]]/Table1[[#This Row],[FY22]])^0.5)-1</f>
        <v>-0.3585455515957916</v>
      </c>
    </row>
    <row r="18" spans="1:9" ht="15.6" x14ac:dyDescent="0.3">
      <c r="C18" s="7"/>
      <c r="D18" s="7"/>
      <c r="E18" s="7"/>
      <c r="F18" s="1"/>
      <c r="G18" s="8"/>
      <c r="H18" s="8"/>
      <c r="I18" s="8"/>
    </row>
    <row r="19" spans="1:9" ht="15.6" x14ac:dyDescent="0.3">
      <c r="A19" s="3" t="s">
        <v>21</v>
      </c>
      <c r="B19" t="s">
        <v>22</v>
      </c>
      <c r="C19">
        <v>0.09</v>
      </c>
      <c r="D19">
        <v>0.06</v>
      </c>
      <c r="E19">
        <v>0.06</v>
      </c>
      <c r="F19" s="1"/>
      <c r="G19" s="8">
        <f>(Table1[[#This Row],[FY23]]-Table1[[#This Row],[FY22]])/Table1[[#This Row],[FY22]]</f>
        <v>-0.33333333333333331</v>
      </c>
      <c r="H19" s="8">
        <f>(Table1[[#This Row],[FY24]]-Table1[[#This Row],[FY23]])/Table1[[#This Row],[FY23]]</f>
        <v>0</v>
      </c>
      <c r="I19" s="8">
        <f>((Table1[[#This Row],[FY24]]/Table1[[#This Row],[FY22]])^0.5)-1</f>
        <v>-0.18350341907227397</v>
      </c>
    </row>
    <row r="20" spans="1:9" ht="15.6" x14ac:dyDescent="0.3">
      <c r="B20" t="s">
        <v>15</v>
      </c>
      <c r="C20">
        <v>3.67</v>
      </c>
      <c r="D20">
        <v>4.6100000000000003</v>
      </c>
      <c r="E20">
        <v>2.54</v>
      </c>
      <c r="F20" s="1"/>
      <c r="G20" s="8">
        <f>(Table1[[#This Row],[FY23]]-Table1[[#This Row],[FY22]])/Table1[[#This Row],[FY22]]</f>
        <v>0.25613079019073581</v>
      </c>
      <c r="H20" s="8">
        <f>(Table1[[#This Row],[FY24]]-Table1[[#This Row],[FY23]])/Table1[[#This Row],[FY23]]</f>
        <v>-0.44902386117136661</v>
      </c>
      <c r="I20" s="8">
        <f>((Table1[[#This Row],[FY24]]/Table1[[#This Row],[FY22]])^0.5)-1</f>
        <v>-0.1680756689199121</v>
      </c>
    </row>
    <row r="21" spans="1:9" ht="15.6" x14ac:dyDescent="0.3">
      <c r="B21" s="3" t="s">
        <v>23</v>
      </c>
      <c r="C21" s="3">
        <f>C19+C20</f>
        <v>3.76</v>
      </c>
      <c r="D21" s="3">
        <f>D19+D20</f>
        <v>4.67</v>
      </c>
      <c r="E21" s="3">
        <f>E19+E20</f>
        <v>2.6</v>
      </c>
      <c r="F21" s="1"/>
      <c r="G21" s="8">
        <f>(Table1[[#This Row],[FY23]]-Table1[[#This Row],[FY22]])/Table1[[#This Row],[FY22]]</f>
        <v>0.24202127659574474</v>
      </c>
      <c r="H21" s="8">
        <f>(Table1[[#This Row],[FY24]]-Table1[[#This Row],[FY23]])/Table1[[#This Row],[FY23]]</f>
        <v>-0.44325481798715199</v>
      </c>
      <c r="I21" s="8">
        <f>((Table1[[#This Row],[FY24]]/Table1[[#This Row],[FY22]])^0.5)-1</f>
        <v>-0.16844160655902962</v>
      </c>
    </row>
    <row r="22" spans="1:9" ht="15.6" x14ac:dyDescent="0.3">
      <c r="B22" s="3"/>
      <c r="C22" s="3"/>
      <c r="D22" s="3"/>
      <c r="E22" s="3"/>
      <c r="F22" s="1"/>
      <c r="G22" s="8"/>
      <c r="H22" s="8"/>
      <c r="I22" s="8"/>
    </row>
    <row r="23" spans="1:9" ht="15.6" x14ac:dyDescent="0.3">
      <c r="A23" s="3" t="s">
        <v>24</v>
      </c>
      <c r="B23" s="3" t="s">
        <v>25</v>
      </c>
      <c r="C23" s="9">
        <v>2236250</v>
      </c>
      <c r="D23" s="9">
        <v>4153112</v>
      </c>
      <c r="E23" s="9">
        <v>4457957</v>
      </c>
      <c r="F23" s="1"/>
      <c r="G23" s="8">
        <f>(Table1[[#This Row],[FY23]]-Table1[[#This Row],[FY22]])/Table1[[#This Row],[FY22]]</f>
        <v>0.8571769703745109</v>
      </c>
      <c r="H23" s="8">
        <f>(Table1[[#This Row],[FY24]]-Table1[[#This Row],[FY23]])/Table1[[#This Row],[FY23]]</f>
        <v>7.3401584161467359E-2</v>
      </c>
      <c r="I23" s="8">
        <f>((Table1[[#This Row],[FY24]]/Table1[[#This Row],[FY22]])^0.5)-1</f>
        <v>0.41191242719518351</v>
      </c>
    </row>
    <row r="24" spans="1:9" ht="15.6" x14ac:dyDescent="0.3">
      <c r="B24" t="s">
        <v>26</v>
      </c>
      <c r="C24" s="7">
        <v>93812</v>
      </c>
      <c r="D24" s="7">
        <v>110300</v>
      </c>
      <c r="E24" s="7">
        <v>43443</v>
      </c>
      <c r="F24" s="1"/>
      <c r="G24" s="8">
        <f>(Table1[[#This Row],[FY23]]-Table1[[#This Row],[FY22]])/Table1[[#This Row],[FY22]]</f>
        <v>0.17575576685285466</v>
      </c>
      <c r="H24" s="8">
        <f>(Table1[[#This Row],[FY24]]-Table1[[#This Row],[FY23]])/Table1[[#This Row],[FY23]]</f>
        <v>-0.60613780598368083</v>
      </c>
      <c r="I24" s="8">
        <f>((Table1[[#This Row],[FY24]]/Table1[[#This Row],[FY22]])^0.5)-1</f>
        <v>-0.31949596183416729</v>
      </c>
    </row>
    <row r="25" spans="1:9" ht="15.6" x14ac:dyDescent="0.3">
      <c r="B25" t="s">
        <v>27</v>
      </c>
      <c r="C25" s="7">
        <v>1086</v>
      </c>
      <c r="D25" s="7">
        <v>8664</v>
      </c>
      <c r="E25" s="7">
        <v>75781</v>
      </c>
      <c r="F25" s="1"/>
      <c r="G25" s="8">
        <f>(Table1[[#This Row],[FY23]]-Table1[[#This Row],[FY22]])/Table1[[#This Row],[FY22]]</f>
        <v>6.9779005524861875</v>
      </c>
      <c r="H25" s="8">
        <f>(Table1[[#This Row],[FY24]]-Table1[[#This Row],[FY23]])/Table1[[#This Row],[FY23]]</f>
        <v>7.7466528162511539</v>
      </c>
      <c r="I25" s="8">
        <f>((Table1[[#This Row],[FY24]]/Table1[[#This Row],[FY22]])^0.5)-1</f>
        <v>7.3534379949320829</v>
      </c>
    </row>
    <row r="26" spans="1:9" ht="15.6" x14ac:dyDescent="0.3">
      <c r="B26" t="s">
        <v>28</v>
      </c>
      <c r="C26" s="10">
        <v>0.81</v>
      </c>
      <c r="D26" s="10">
        <v>0.94</v>
      </c>
      <c r="E26" s="10">
        <v>0.98</v>
      </c>
      <c r="F26" s="1"/>
      <c r="G26" s="8" t="s">
        <v>11</v>
      </c>
      <c r="H26" s="8">
        <f>(Table1[[#This Row],[FY24]]-Table1[[#This Row],[FY23]])/Table1[[#This Row],[FY23]]</f>
        <v>4.2553191489361743E-2</v>
      </c>
      <c r="I26" s="8">
        <f>((Table1[[#This Row],[FY24]]/Table1[[#This Row],[FY23]])^1)-1</f>
        <v>4.2553191489361764E-2</v>
      </c>
    </row>
    <row r="27" spans="1:9" ht="15.6" x14ac:dyDescent="0.3">
      <c r="B27" t="s">
        <v>29</v>
      </c>
      <c r="C27" s="7">
        <v>2133774</v>
      </c>
      <c r="D27" s="7">
        <v>2133774</v>
      </c>
      <c r="E27" s="7">
        <v>4265232</v>
      </c>
      <c r="F27" s="1"/>
      <c r="G27" s="8">
        <f>(Table1[[#This Row],[FY23]]-Table1[[#This Row],[FY22]])/Table1[[#This Row],[FY22]]</f>
        <v>0</v>
      </c>
      <c r="H27" s="8">
        <f>(Table1[[#This Row],[FY24]]-Table1[[#This Row],[FY23]])/Table1[[#This Row],[FY23]]</f>
        <v>0.9989145992031021</v>
      </c>
      <c r="I27" s="8">
        <f>((Table1[[#This Row],[FY24]]/Table1[[#This Row],[FY22]])^0.5)-1</f>
        <v>0.41382976316213615</v>
      </c>
    </row>
    <row r="28" spans="1:9" ht="15.6" x14ac:dyDescent="0.3">
      <c r="C28" s="7"/>
      <c r="D28" s="7"/>
      <c r="E28" s="7"/>
      <c r="F28" s="1"/>
      <c r="G28" s="8"/>
      <c r="H28" s="8"/>
      <c r="I28" s="8"/>
    </row>
    <row r="29" spans="1:9" ht="15.6" x14ac:dyDescent="0.3">
      <c r="B29" s="3" t="s">
        <v>30</v>
      </c>
      <c r="C29" s="9">
        <v>33229198</v>
      </c>
      <c r="D29" s="9">
        <v>25779888</v>
      </c>
      <c r="E29" s="9">
        <v>26237385</v>
      </c>
      <c r="F29" s="1"/>
      <c r="G29" s="8">
        <f>(Table1[[#This Row],[FY23]]-Table1[[#This Row],[FY22]])/Table1[[#This Row],[FY22]]</f>
        <v>-0.2241796506795018</v>
      </c>
      <c r="H29" s="8">
        <f>(Table1[[#This Row],[FY24]]-Table1[[#This Row],[FY23]])/Table1[[#This Row],[FY23]]</f>
        <v>1.774627570143051E-2</v>
      </c>
      <c r="I29" s="8">
        <f>((Table1[[#This Row],[FY24]]/Table1[[#This Row],[FY22]])^0.5)-1</f>
        <v>-0.111412204037035</v>
      </c>
    </row>
    <row r="30" spans="1:9" ht="15.6" x14ac:dyDescent="0.3">
      <c r="B30" t="s">
        <v>31</v>
      </c>
      <c r="C30" s="7">
        <v>10691475</v>
      </c>
      <c r="D30" s="7">
        <v>8665252</v>
      </c>
      <c r="E30" s="7">
        <v>8876694</v>
      </c>
      <c r="F30" s="1"/>
      <c r="G30" s="8">
        <f>(Table1[[#This Row],[FY23]]-Table1[[#This Row],[FY22]])/Table1[[#This Row],[FY22]]</f>
        <v>-0.18951762970029859</v>
      </c>
      <c r="H30" s="8">
        <f>(Table1[[#This Row],[FY24]]-Table1[[#This Row],[FY23]])/Table1[[#This Row],[FY23]]</f>
        <v>2.4401136862494018E-2</v>
      </c>
      <c r="I30" s="8">
        <f>((Table1[[#This Row],[FY24]]/Table1[[#This Row],[FY22]])^0.5)-1</f>
        <v>-8.8814474685850242E-2</v>
      </c>
    </row>
    <row r="31" spans="1:9" ht="15.6" x14ac:dyDescent="0.3">
      <c r="B31" t="s">
        <v>10</v>
      </c>
      <c r="C31" s="7">
        <v>21846123</v>
      </c>
      <c r="D31" s="7">
        <v>17114636</v>
      </c>
      <c r="E31" s="7">
        <v>17360691</v>
      </c>
      <c r="F31" s="1"/>
      <c r="G31" s="8">
        <f>(Table1[[#This Row],[FY23]]-Table1[[#This Row],[FY22]])/Table1[[#This Row],[FY22]]</f>
        <v>-0.21658245721677938</v>
      </c>
      <c r="H31" s="8">
        <f>(Table1[[#This Row],[FY24]]-Table1[[#This Row],[FY23]])/Table1[[#This Row],[FY23]]</f>
        <v>1.4376876025876333E-2</v>
      </c>
      <c r="I31" s="8">
        <f>((Table1[[#This Row],[FY24]]/Table1[[#This Row],[FY22]])^0.5)-1</f>
        <v>-0.10855138136159992</v>
      </c>
    </row>
    <row r="32" spans="1:9" ht="15.6" x14ac:dyDescent="0.3">
      <c r="B32" t="s">
        <v>32</v>
      </c>
      <c r="C32" s="10">
        <v>1</v>
      </c>
      <c r="D32" s="10">
        <v>1</v>
      </c>
      <c r="E32" s="10">
        <v>1</v>
      </c>
      <c r="F32" s="1"/>
      <c r="G32" s="8">
        <f>(Table1[[#This Row],[FY23]]-Table1[[#This Row],[FY22]])/Table1[[#This Row],[FY22]]</f>
        <v>0</v>
      </c>
      <c r="H32" s="8">
        <f>(Table1[[#This Row],[FY24]]-Table1[[#This Row],[FY23]])/Table1[[#This Row],[FY23]]</f>
        <v>0</v>
      </c>
      <c r="I32" s="8">
        <f>((Table1[[#This Row],[FY24]]/Table1[[#This Row],[FY22]])^0.5)-1</f>
        <v>0</v>
      </c>
    </row>
    <row r="33" spans="2:9" ht="15.6" x14ac:dyDescent="0.3">
      <c r="B33" t="s">
        <v>33</v>
      </c>
      <c r="C33" s="7">
        <v>351890</v>
      </c>
      <c r="D33" s="13" t="s">
        <v>11</v>
      </c>
      <c r="E33" s="13" t="s">
        <v>11</v>
      </c>
      <c r="F33" s="1"/>
      <c r="G33" s="8" t="s">
        <v>11</v>
      </c>
      <c r="H33" s="8" t="s">
        <v>11</v>
      </c>
      <c r="I33" s="8" t="s">
        <v>11</v>
      </c>
    </row>
    <row r="34" spans="2:9" ht="15.6" x14ac:dyDescent="0.3">
      <c r="B34" t="s">
        <v>34</v>
      </c>
      <c r="C34" s="7">
        <v>339711</v>
      </c>
      <c r="D34" s="13" t="s">
        <v>11</v>
      </c>
      <c r="E34" s="13" t="s">
        <v>11</v>
      </c>
      <c r="F34" s="1"/>
      <c r="G34" s="8" t="s">
        <v>11</v>
      </c>
      <c r="H34" s="8" t="s">
        <v>11</v>
      </c>
      <c r="I34" s="8" t="s">
        <v>11</v>
      </c>
    </row>
    <row r="35" spans="2:9" ht="15.6" x14ac:dyDescent="0.3">
      <c r="B35" s="3" t="s">
        <v>35</v>
      </c>
      <c r="C35" s="9">
        <v>33149269</v>
      </c>
      <c r="D35" s="9">
        <v>35465448</v>
      </c>
      <c r="E35" s="9">
        <v>29933000</v>
      </c>
      <c r="F35" s="1"/>
      <c r="G35" s="8">
        <f>(Table1[[#This Row],[FY23]]-Table1[[#This Row],[FY22]])/Table1[[#This Row],[FY22]]</f>
        <v>6.9871193841408691E-2</v>
      </c>
      <c r="H35" s="8">
        <f>(Table1[[#This Row],[FY24]]-Table1[[#This Row],[FY23]])/Table1[[#This Row],[FY23]]</f>
        <v>-0.15599543533187568</v>
      </c>
      <c r="I35" s="8">
        <f>((Table1[[#This Row],[FY24]]/Table1[[#This Row],[FY22]])^0.5)-1</f>
        <v>-4.9749416622602349E-2</v>
      </c>
    </row>
    <row r="36" spans="2:9" ht="15.6" x14ac:dyDescent="0.3">
      <c r="B36" s="3"/>
      <c r="C36" s="9"/>
      <c r="D36" s="9"/>
      <c r="E36" s="9"/>
      <c r="F36" s="1"/>
      <c r="G36" s="8"/>
      <c r="H36" s="8"/>
      <c r="I36" s="8"/>
    </row>
    <row r="37" spans="2:9" ht="15.6" x14ac:dyDescent="0.3">
      <c r="B37" s="3" t="s">
        <v>36</v>
      </c>
      <c r="C37" s="9">
        <v>60340</v>
      </c>
      <c r="D37" s="9">
        <v>52326</v>
      </c>
      <c r="E37" s="9">
        <v>69496</v>
      </c>
      <c r="F37" s="1"/>
      <c r="G37" s="8">
        <f>(Table1[[#This Row],[FY23]]-Table1[[#This Row],[FY22]])/Table1[[#This Row],[FY22]]</f>
        <v>-0.13281405369572422</v>
      </c>
      <c r="H37" s="8">
        <f>(Table1[[#This Row],[FY24]]-Table1[[#This Row],[FY23]])/Table1[[#This Row],[FY23]]</f>
        <v>0.32813515269655619</v>
      </c>
      <c r="I37" s="8">
        <f>((Table1[[#This Row],[FY24]]/Table1[[#This Row],[FY22]])^0.5)-1</f>
        <v>7.3191566874776015E-2</v>
      </c>
    </row>
    <row r="38" spans="2:9" ht="15.6" x14ac:dyDescent="0.3">
      <c r="B38" s="3"/>
      <c r="C38" s="9"/>
      <c r="D38" s="9"/>
      <c r="E38" s="9"/>
      <c r="F38" s="1"/>
      <c r="G38" s="8"/>
      <c r="H38" s="8"/>
      <c r="I38" s="8"/>
    </row>
    <row r="39" spans="2:9" ht="15.6" x14ac:dyDescent="0.3">
      <c r="B39" s="3" t="s">
        <v>37</v>
      </c>
      <c r="C39" s="3">
        <v>984</v>
      </c>
      <c r="D39" s="3">
        <v>985</v>
      </c>
      <c r="E39" s="3">
        <v>972</v>
      </c>
      <c r="F39" s="1"/>
      <c r="G39" s="8">
        <f>(Table1[[#This Row],[FY23]]-Table1[[#This Row],[FY22]])/Table1[[#This Row],[FY22]]</f>
        <v>1.0162601626016261E-3</v>
      </c>
      <c r="H39" s="8">
        <f>(Table1[[#This Row],[FY24]]-Table1[[#This Row],[FY23]])/Table1[[#This Row],[FY23]]</f>
        <v>-1.3197969543147208E-2</v>
      </c>
      <c r="I39" s="8">
        <f>((Table1[[#This Row],[FY24]]/Table1[[#This Row],[FY22]])^0.5)-1</f>
        <v>-6.1162653263810984E-3</v>
      </c>
    </row>
    <row r="40" spans="2:9" ht="15.6" x14ac:dyDescent="0.3">
      <c r="B40" t="s">
        <v>38</v>
      </c>
      <c r="C40" s="10">
        <v>0.56999999999999995</v>
      </c>
      <c r="D40" s="10">
        <v>0.62</v>
      </c>
      <c r="E40" s="10">
        <v>0.61</v>
      </c>
      <c r="F40" s="1"/>
      <c r="G40" s="8">
        <f>(Table1[[#This Row],[FY23]]-Table1[[#This Row],[FY22]])/Table1[[#This Row],[FY22]]</f>
        <v>8.7719298245614127E-2</v>
      </c>
      <c r="H40" s="8">
        <f>(Table1[[#This Row],[FY24]]-Table1[[#This Row],[FY23]])/Table1[[#This Row],[FY23]]</f>
        <v>-1.612903225806453E-2</v>
      </c>
      <c r="I40" s="8">
        <f>((Table1[[#This Row],[FY24]]/Table1[[#This Row],[FY22]])^0.5)-1</f>
        <v>3.4492841249513573E-2</v>
      </c>
    </row>
    <row r="41" spans="2:9" ht="15.6" x14ac:dyDescent="0.3">
      <c r="B41" t="s">
        <v>39</v>
      </c>
      <c r="C41" s="10">
        <v>1</v>
      </c>
      <c r="D41" s="10">
        <v>1</v>
      </c>
      <c r="E41" s="10">
        <v>1</v>
      </c>
      <c r="F41" s="1"/>
      <c r="G41" s="8">
        <f>(Table1[[#This Row],[FY23]]-Table1[[#This Row],[FY22]])/Table1[[#This Row],[FY22]]</f>
        <v>0</v>
      </c>
      <c r="H41" s="8">
        <f>(Table1[[#This Row],[FY24]]-Table1[[#This Row],[FY23]])/Table1[[#This Row],[FY23]]</f>
        <v>0</v>
      </c>
      <c r="I41" s="8">
        <f>((Table1[[#This Row],[FY24]]/Table1[[#This Row],[FY22]])^0.5)-1</f>
        <v>0</v>
      </c>
    </row>
    <row r="42" spans="2:9" ht="15.6" x14ac:dyDescent="0.3">
      <c r="C42" s="10"/>
      <c r="D42" s="10"/>
      <c r="E42" s="10"/>
      <c r="F42" s="1"/>
      <c r="G42" s="8"/>
      <c r="H42" s="8"/>
      <c r="I42" s="8"/>
    </row>
    <row r="43" spans="2:9" ht="15.6" x14ac:dyDescent="0.3">
      <c r="B43" s="3" t="s">
        <v>40</v>
      </c>
      <c r="C43" s="10">
        <v>0.14000000000000001</v>
      </c>
      <c r="D43" s="10">
        <v>0.2</v>
      </c>
      <c r="E43" s="10">
        <v>0.3</v>
      </c>
      <c r="F43" s="1"/>
      <c r="G43" s="8">
        <f>(Table1[[#This Row],[FY23]]-Table1[[#This Row],[FY22]])/Table1[[#This Row],[FY22]]</f>
        <v>0.42857142857142849</v>
      </c>
      <c r="H43" s="8">
        <f>(Table1[[#This Row],[FY24]]-Table1[[#This Row],[FY23]])/Table1[[#This Row],[FY23]]</f>
        <v>0.49999999999999989</v>
      </c>
      <c r="I43" s="8">
        <f>((Table1[[#This Row],[FY24]]/Table1[[#This Row],[FY22]])^0.5)-1</f>
        <v>0.46385010942279981</v>
      </c>
    </row>
  </sheetData>
  <conditionalFormatting sqref="G4">
    <cfRule type="colorScale" priority="4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7">
    <cfRule type="colorScale" priority="5">
      <colorScale>
        <cfvo type="min"/>
        <cfvo type="max"/>
        <color rgb="FFFCFCFF"/>
        <color rgb="FF63BE7B"/>
      </colorScale>
    </cfRule>
  </conditionalFormatting>
  <conditionalFormatting sqref="G29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3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1">
      <colorScale>
        <cfvo type="min"/>
        <cfvo type="max"/>
        <color rgb="FFFCFCFF"/>
        <color rgb="FFF8696B"/>
      </colorScale>
    </cfRule>
  </conditionalFormatting>
  <conditionalFormatting sqref="G3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">
      <colorScale>
        <cfvo type="min"/>
        <cfvo type="max"/>
        <color rgb="FF63BE7B"/>
        <color rgb="FFFCFCFF"/>
      </colorScale>
    </cfRule>
  </conditionalFormatting>
  <conditionalFormatting sqref="G34">
    <cfRule type="colorScale" priority="21">
      <colorScale>
        <cfvo type="min"/>
        <cfvo type="max"/>
        <color rgb="FF63BE7B"/>
        <color rgb="FFFCFCFF"/>
      </colorScale>
    </cfRule>
  </conditionalFormatting>
  <conditionalFormatting sqref="G35">
    <cfRule type="colorScale" priority="30">
      <colorScale>
        <cfvo type="min"/>
        <cfvo type="max"/>
        <color rgb="FFFCFCFF"/>
        <color rgb="FFF8696B"/>
      </colorScale>
    </cfRule>
  </conditionalFormatting>
  <conditionalFormatting sqref="G37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G43">
    <cfRule type="colorScale" priority="19">
      <colorScale>
        <cfvo type="min"/>
        <cfvo type="max"/>
        <color rgb="FFFCFCFF"/>
        <color rgb="FF63BE7B"/>
      </colorScale>
    </cfRule>
  </conditionalFormatting>
  <conditionalFormatting sqref="G19:H20">
    <cfRule type="colorScale" priority="6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:H34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I4">
    <cfRule type="colorScale" priority="49">
      <colorScale>
        <cfvo type="min"/>
        <cfvo type="max"/>
        <color rgb="FF63BE7B"/>
        <color rgb="FFFCFCFF"/>
      </colorScale>
    </cfRule>
  </conditionalFormatting>
  <conditionalFormatting sqref="G2:I43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6:I10">
    <cfRule type="colorScale" priority="46">
      <colorScale>
        <cfvo type="min"/>
        <cfvo type="max"/>
        <color rgb="FF63BE7B"/>
        <color rgb="FFFCFCFF"/>
      </colorScale>
    </cfRule>
  </conditionalFormatting>
  <conditionalFormatting sqref="G9:I11">
    <cfRule type="colorScale" priority="78">
      <colorScale>
        <cfvo type="min"/>
        <cfvo type="max"/>
        <color rgb="FF63BE7B"/>
        <color rgb="FFFCFCFF"/>
      </colorScale>
    </cfRule>
  </conditionalFormatting>
  <conditionalFormatting sqref="G10:I10">
    <cfRule type="colorScale" priority="3">
      <colorScale>
        <cfvo type="min"/>
        <cfvo type="max"/>
        <color rgb="FF63BE7B"/>
        <color rgb="FFFCFCFF"/>
      </colorScale>
    </cfRule>
  </conditionalFormatting>
  <conditionalFormatting sqref="G12:I16">
    <cfRule type="colorScale" priority="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2:I17">
    <cfRule type="colorScale" priority="44">
      <colorScale>
        <cfvo type="min"/>
        <cfvo type="max"/>
        <color rgb="FFFCFCFF"/>
        <color rgb="FFF8696B"/>
      </colorScale>
    </cfRule>
  </conditionalFormatting>
  <conditionalFormatting sqref="G17:I18">
    <cfRule type="colorScale" priority="77">
      <colorScale>
        <cfvo type="min"/>
        <cfvo type="max"/>
        <color rgb="FFFCFCFF"/>
        <color rgb="FF63BE7B"/>
      </colorScale>
    </cfRule>
  </conditionalFormatting>
  <conditionalFormatting sqref="G19:I19">
    <cfRule type="colorScale" priority="41">
      <colorScale>
        <cfvo type="min"/>
        <cfvo type="max"/>
        <color rgb="FF63BE7B"/>
        <color rgb="FFFCFCFF"/>
      </colorScale>
    </cfRule>
  </conditionalFormatting>
  <conditionalFormatting sqref="G19:I21">
    <cfRule type="colorScale" priority="42">
      <colorScale>
        <cfvo type="min"/>
        <cfvo type="max"/>
        <color rgb="FFFCFCFF"/>
        <color rgb="FFF8696B"/>
      </colorScale>
    </cfRule>
  </conditionalFormatting>
  <conditionalFormatting sqref="G23:I24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0">
      <colorScale>
        <cfvo type="min"/>
        <cfvo type="max"/>
        <color rgb="FFFCFCFF"/>
        <color rgb="FFF8696B"/>
      </colorScale>
    </cfRule>
  </conditionalFormatting>
  <conditionalFormatting sqref="G25:I2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5:I26">
    <cfRule type="colorScale" priority="39">
      <colorScale>
        <cfvo type="min"/>
        <cfvo type="max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6:I26">
    <cfRule type="colorScale" priority="64">
      <colorScale>
        <cfvo type="min"/>
        <cfvo type="max"/>
        <color rgb="FFFCFCFF"/>
        <color rgb="FF63BE7B"/>
      </colorScale>
    </cfRule>
  </conditionalFormatting>
  <conditionalFormatting sqref="G27:I27">
    <cfRule type="colorScale" priority="38">
      <colorScale>
        <cfvo type="min"/>
        <cfvo type="max"/>
        <color rgb="FFFCFCFF"/>
        <color rgb="FF63BE7B"/>
      </colorScale>
    </cfRule>
  </conditionalFormatting>
  <conditionalFormatting sqref="G27:I28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9:I31">
    <cfRule type="colorScale" priority="12">
      <colorScale>
        <cfvo type="min"/>
        <cfvo type="max"/>
        <color rgb="FF63BE7B"/>
        <color rgb="FFFCFCFF"/>
      </colorScale>
    </cfRule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9:I35">
    <cfRule type="colorScale" priority="34">
      <colorScale>
        <cfvo type="min"/>
        <cfvo type="max"/>
        <color rgb="FFFCFCFF"/>
        <color rgb="FF63BE7B"/>
      </colorScale>
    </cfRule>
  </conditionalFormatting>
  <conditionalFormatting sqref="G32:I32">
    <cfRule type="colorScale" priority="59">
      <colorScale>
        <cfvo type="min"/>
        <cfvo type="max"/>
        <color rgb="FFFCFCFF"/>
        <color rgb="FF63BE7B"/>
      </colorScale>
    </cfRule>
  </conditionalFormatting>
  <conditionalFormatting sqref="G33:I33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:I34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5:I36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7:I37">
    <cfRule type="colorScale" priority="15">
      <colorScale>
        <cfvo type="min"/>
        <cfvo type="max"/>
        <color rgb="FFFCFCFF"/>
        <color rgb="FFF8696B"/>
      </colorScale>
    </cfRule>
  </conditionalFormatting>
  <conditionalFormatting sqref="G37:I43">
    <cfRule type="colorScale" priority="5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9:I39">
    <cfRule type="colorScale" priority="16">
      <colorScale>
        <cfvo type="min"/>
        <cfvo type="max"/>
        <color rgb="FF63BE7B"/>
        <color rgb="FFFCFCFF"/>
      </colorScale>
    </cfRule>
  </conditionalFormatting>
  <conditionalFormatting sqref="G39:I41 G42:G43">
    <cfRule type="colorScale" priority="26">
      <colorScale>
        <cfvo type="min"/>
        <cfvo type="max"/>
        <color rgb="FFFCFCFF"/>
        <color rgb="FFF8696B"/>
      </colorScale>
    </cfRule>
  </conditionalFormatting>
  <conditionalFormatting sqref="G40:I41 G42:G43">
    <cfRule type="colorScale" priority="25">
      <colorScale>
        <cfvo type="min"/>
        <cfvo type="max"/>
        <color rgb="FFFCFCFF"/>
        <color rgb="FF63BE7B"/>
      </colorScale>
    </cfRule>
  </conditionalFormatting>
  <conditionalFormatting sqref="G40:I41">
    <cfRule type="colorScale" priority="18">
      <colorScale>
        <cfvo type="min"/>
        <cfvo type="max"/>
        <color rgb="FFFCFCFF"/>
        <color rgb="FF63BE7B"/>
      </colorScale>
    </cfRule>
  </conditionalFormatting>
  <conditionalFormatting sqref="G40:I42 G42:G43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0:I43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3:I43">
    <cfRule type="colorScale" priority="20">
      <colorScale>
        <cfvo type="min"/>
        <cfvo type="max"/>
        <color rgb="FFFCFCFF"/>
        <color rgb="FF63BE7B"/>
      </colorScale>
    </cfRule>
  </conditionalFormatting>
  <conditionalFormatting sqref="H4:H5">
    <cfRule type="colorScale" priority="72">
      <colorScale>
        <cfvo type="min"/>
        <cfvo type="max"/>
        <color rgb="FFFCFCFF"/>
        <color rgb="FFF8696B"/>
      </colorScale>
    </cfRule>
  </conditionalFormatting>
  <conditionalFormatting sqref="H12">
    <cfRule type="colorScale" priority="83">
      <colorScale>
        <cfvo type="min"/>
        <cfvo type="max"/>
        <color rgb="FFFCFCFF"/>
        <color rgb="FFF8696B"/>
      </colorScale>
    </cfRule>
  </conditionalFormatting>
  <conditionalFormatting sqref="H14">
    <cfRule type="colorScale" priority="75">
      <colorScale>
        <cfvo type="min"/>
        <cfvo type="max"/>
        <color rgb="FFFCFCFF"/>
        <color rgb="FFF8696B"/>
      </colorScale>
    </cfRule>
  </conditionalFormatting>
  <conditionalFormatting sqref="H15">
    <cfRule type="colorScale" priority="73">
      <colorScale>
        <cfvo type="min"/>
        <cfvo type="max"/>
        <color rgb="FFFCFCFF"/>
        <color rgb="FFF8696B"/>
      </colorScale>
    </cfRule>
  </conditionalFormatting>
  <conditionalFormatting sqref="H16">
    <cfRule type="colorScale" priority="6">
      <colorScale>
        <cfvo type="min"/>
        <cfvo type="max"/>
        <color rgb="FFFCFCFF"/>
        <color rgb="FF63BE7B"/>
      </colorScale>
    </cfRule>
  </conditionalFormatting>
  <conditionalFormatting sqref="H19:H21">
    <cfRule type="colorScale" priority="9">
      <colorScale>
        <cfvo type="min"/>
        <cfvo type="max"/>
        <color rgb="FF63BE7B"/>
        <color rgb="FFFCFCFF"/>
      </colorScale>
    </cfRule>
  </conditionalFormatting>
  <conditionalFormatting sqref="H20">
    <cfRule type="colorScale" priority="70">
      <colorScale>
        <cfvo type="min"/>
        <cfvo type="max"/>
        <color rgb="FFFCFCFF"/>
        <color rgb="FFF8696B"/>
      </colorScale>
    </cfRule>
  </conditionalFormatting>
  <conditionalFormatting sqref="H21:H22">
    <cfRule type="colorScale" priority="69">
      <colorScale>
        <cfvo type="min"/>
        <cfvo type="max"/>
        <color rgb="FFFCFCFF"/>
        <color rgb="FFF8696B"/>
      </colorScale>
    </cfRule>
  </conditionalFormatting>
  <conditionalFormatting sqref="H24">
    <cfRule type="colorScale" priority="10">
      <colorScale>
        <cfvo type="min"/>
        <cfvo type="max"/>
        <color rgb="FFFCFCFF"/>
        <color rgb="FF63BE7B"/>
      </colorScale>
    </cfRule>
  </conditionalFormatting>
  <conditionalFormatting sqref="H29:H31">
    <cfRule type="colorScale" priority="11">
      <colorScale>
        <cfvo type="min"/>
        <cfvo type="max"/>
        <color rgb="FFFCFCFF"/>
        <color rgb="FFF8696B"/>
      </colorScale>
    </cfRule>
  </conditionalFormatting>
  <conditionalFormatting sqref="H40">
    <cfRule type="colorScale" priority="17">
      <colorScale>
        <cfvo type="min"/>
        <cfvo type="max"/>
        <color rgb="FFFCFCFF"/>
        <color rgb="FFF8696B"/>
      </colorScale>
    </cfRule>
  </conditionalFormatting>
  <conditionalFormatting sqref="H14:I14">
    <cfRule type="colorScale" priority="8">
      <colorScale>
        <cfvo type="min"/>
        <cfvo type="max"/>
        <color rgb="FF63BE7B"/>
        <color rgb="FFFCFCFF"/>
      </colorScale>
    </cfRule>
  </conditionalFormatting>
  <conditionalFormatting sqref="H17:I17">
    <cfRule type="colorScale" priority="43">
      <colorScale>
        <cfvo type="min"/>
        <cfvo type="max"/>
        <color rgb="FF63BE7B"/>
        <color rgb="FFFCFCFF"/>
      </colorScale>
    </cfRule>
  </conditionalFormatting>
  <conditionalFormatting sqref="H29:I35">
    <cfRule type="colorScale" priority="29">
      <colorScale>
        <cfvo type="min"/>
        <cfvo type="max"/>
        <color rgb="FF63BE7B"/>
        <color rgb="FFFCFCFF"/>
      </colorScale>
    </cfRule>
  </conditionalFormatting>
  <conditionalFormatting sqref="I2:I4">
    <cfRule type="colorScale" priority="2">
      <colorScale>
        <cfvo type="min"/>
        <cfvo type="max"/>
        <color rgb="FFFCFCFF"/>
        <color rgb="FF63BE7B"/>
      </colorScale>
    </cfRule>
  </conditionalFormatting>
  <conditionalFormatting sqref="I4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conditionalFormatting sqref="I14">
    <cfRule type="colorScale" priority="7">
      <colorScale>
        <cfvo type="min"/>
        <cfvo type="max"/>
        <color rgb="FFFCFCFF"/>
        <color rgb="FF63BE7B"/>
      </colorScale>
    </cfRule>
  </conditionalFormatting>
  <conditionalFormatting sqref="I16">
    <cfRule type="colorScale" priority="4">
      <colorScale>
        <cfvo type="min"/>
        <cfvo type="max"/>
        <color rgb="FFFCFCFF"/>
        <color rgb="FF63BE7B"/>
      </colorScale>
    </cfRule>
  </conditionalFormatting>
  <conditionalFormatting sqref="I20:I24">
    <cfRule type="colorScale" priority="62">
      <colorScale>
        <cfvo type="min"/>
        <cfvo type="max"/>
        <color rgb="FF63BE7B"/>
        <color rgb="FFFCFCFF"/>
      </colorScale>
    </cfRule>
  </conditionalFormatting>
  <conditionalFormatting sqref="I27:I28">
    <cfRule type="colorScale" priority="61">
      <colorScale>
        <cfvo type="min"/>
        <cfvo type="max"/>
        <color rgb="FFFCFCFF"/>
        <color rgb="FF63BE7B"/>
      </colorScale>
    </cfRule>
  </conditionalFormatting>
  <conditionalFormatting sqref="I34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3">
    <cfRule type="colorScale" priority="5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xr2:uid="{1027FBA9-409F-4B15-91E2-166B5F7F44A2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  <x14:sparkline>
              <xm:f>Sheet1!C38:E38</xm:f>
              <xm:sqref>F38</xm:sqref>
            </x14:sparkline>
            <x14:sparkline>
              <xm:f>Sheet1!C39:E39</xm:f>
              <xm:sqref>F39</xm:sqref>
            </x14:sparkline>
            <x14:sparkline>
              <xm:f>Sheet1!C40:E40</xm:f>
              <xm:sqref>F40</xm:sqref>
            </x14:sparkline>
            <x14:sparkline>
              <xm:f>Sheet1!C41:E41</xm:f>
              <xm:sqref>F41</xm:sqref>
            </x14:sparkline>
            <x14:sparkline>
              <xm:f>Sheet1!C42:E42</xm:f>
              <xm:sqref>F42</xm:sqref>
            </x14:sparkline>
            <x14:sparkline>
              <xm:f>Sheet1!C43:E43</xm:f>
              <xm:sqref>F43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2026-05-02T15:59:51Z</dcterms:modified>
</cp:coreProperties>
</file>