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rkaj\OneDrive\Desktop\Deloitte UK Reports Review (FY19-24)\Data Reports\Reports (FY22-24)\"/>
    </mc:Choice>
  </mc:AlternateContent>
  <xr:revisionPtr revIDLastSave="62" documentId="13_ncr:1_{8D78C325-F636-40E5-AEE7-649643AA409E}" xr6:coauthVersionLast="47" xr6:coauthVersionMax="47" xr10:uidLastSave="{D7DCB99F-D3D4-44D6-BF82-EA86FAD115EE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5" i="1"/>
  <c r="I6" i="1"/>
  <c r="I7" i="1"/>
  <c r="I8" i="1"/>
  <c r="I9" i="1"/>
  <c r="I11" i="1"/>
  <c r="H9" i="1"/>
  <c r="G5" i="1"/>
  <c r="G6" i="1"/>
  <c r="G7" i="1"/>
  <c r="G8" i="1"/>
  <c r="G9" i="1"/>
  <c r="G11" i="1"/>
  <c r="I2" i="1"/>
  <c r="H2" i="1"/>
  <c r="H3" i="1"/>
  <c r="H5" i="1"/>
  <c r="H6" i="1"/>
  <c r="H7" i="1"/>
  <c r="H8" i="1"/>
  <c r="H11" i="1"/>
  <c r="G2" i="1"/>
  <c r="G3" i="1"/>
</calcChain>
</file>

<file path=xl/sharedStrings.xml><?xml version="1.0" encoding="utf-8"?>
<sst xmlns="http://schemas.openxmlformats.org/spreadsheetml/2006/main" count="19" uniqueCount="19">
  <si>
    <t>METRIC</t>
  </si>
  <si>
    <t>CATEGORY</t>
  </si>
  <si>
    <t>FY22</t>
  </si>
  <si>
    <t>FY23</t>
  </si>
  <si>
    <t>YERALY TRENDS</t>
  </si>
  <si>
    <t>YoY (22-23)</t>
  </si>
  <si>
    <t>CAGR</t>
  </si>
  <si>
    <t>Ethics</t>
  </si>
  <si>
    <t>Ethics cases raised</t>
  </si>
  <si>
    <t>Rate - per 100 FTE</t>
  </si>
  <si>
    <t>% beakdown by Top 5 Cases</t>
  </si>
  <si>
    <t>Respect &amp; Fair treatment</t>
  </si>
  <si>
    <t>Harassment (including Sexual Harassment)</t>
  </si>
  <si>
    <t>Time &amp; Expense Reporting &amp; Client Billing</t>
  </si>
  <si>
    <t>Compliance</t>
  </si>
  <si>
    <t>Discrimination</t>
  </si>
  <si>
    <t>% of respondents who agreed with the statement 'Deloitte is an ethical place to work'</t>
  </si>
  <si>
    <t>FY24</t>
  </si>
  <si>
    <t>YoY (23-24)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</si>
</sst>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9" fontId="0" fillId="0" borderId="0" xfId="0" applyNumberFormat="1"/>
    <xf numFmtId="9" fontId="0" fillId="0" borderId="0" xfId="0" applyNumberFormat="1" applyAlignment="1">
      <alignment horizontal="right"/>
    </xf>
    <xf numFmtId="9" fontId="3" fillId="0" borderId="0" xfId="1" applyFont="1" applyAlignment="1">
      <alignment horizontal="center" vertical="center"/>
    </xf>
    <xf numFmtId="9" fontId="0" fillId="0" borderId="0" xfId="1" applyFont="1"/>
  </cellXfs>
  <cellStyles count="2">
    <cellStyle name="Normal" xfId="0" builtinId="0"/>
    <cellStyle name="Percent" xfId="1" builtinId="5"/>
  </cellStyles>
  <dxfs count="6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2A5D33-E652-46EB-9E48-FABBA03942DB}" name="Table1" displayName="Table1" ref="A1:I11" totalsRowShown="0" headerRowDxfId="5">
  <autoFilter ref="A1:I11" xr:uid="{CC2A5D33-E652-46EB-9E48-FABBA03942DB}"/>
  <tableColumns count="9">
    <tableColumn id="1" xr3:uid="{1A806621-001E-424C-9E30-557BD1B06E4F}" name="METRIC"/>
    <tableColumn id="2" xr3:uid="{28A0ABCC-DB7D-4B56-A664-4D710E260BAE}" name="CATEGORY"/>
    <tableColumn id="3" xr3:uid="{D3DEC5DD-025B-4612-A4D6-55EC564EE470}" name="FY22" dataDxfId="4"/>
    <tableColumn id="4" xr3:uid="{AB9B9E0F-668D-4DEB-B019-9C52DA83C2E8}" name="FY23" dataDxfId="3"/>
    <tableColumn id="5" xr3:uid="{70E40EBC-AF42-4B60-B824-376065DB56CE}" name="FY24" dataDxfId="2"/>
    <tableColumn id="6" xr3:uid="{E513A188-54EB-437F-9A17-2DABD831ECD8}" name="YERALY TRENDS"/>
    <tableColumn id="7" xr3:uid="{EE43B245-E185-4176-B625-0605594CD805}" name="YoY (22-23)" dataDxfId="1" dataCellStyle="Percent">
      <calculatedColumnFormula>(Table1[[#This Row],[FY23]]-Table1[[#This Row],[FY22]])/Table1[[#This Row],[FY22]]</calculatedColumnFormula>
    </tableColumn>
    <tableColumn id="8" xr3:uid="{B84C225A-4BDF-4051-958B-7E9F0A45C6B8}" name="YoY (23-24)" dataDxfId="0" dataCellStyle="Percent">
      <calculatedColumnFormula>(Table1[[#This Row],[FY24]]-Table1[[#This Row],[FY23]])/Table1[[#This Row],[FY23]]</calculatedColumnFormula>
    </tableColumn>
    <tableColumn id="9" xr3:uid="{727F21B4-C8EC-4536-8042-55DE4EA52281}" name="CAGR" dataCellStyle="Percent">
      <calculatedColumnFormula>((Table1[[#This Row],[FY24]]/Table1[[#This Row],[FY22]])^0.5)-1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zoomScaleNormal="100" workbookViewId="0">
      <selection activeCell="J8" sqref="J8"/>
    </sheetView>
  </sheetViews>
  <sheetFormatPr defaultRowHeight="14.4" x14ac:dyDescent="0.3"/>
  <cols>
    <col min="1" max="1" width="26" customWidth="1"/>
    <col min="2" max="2" width="72.6640625" customWidth="1"/>
    <col min="3" max="3" width="10.21875" customWidth="1"/>
    <col min="4" max="4" width="11.5546875" customWidth="1"/>
    <col min="5" max="5" width="10.33203125" customWidth="1"/>
    <col min="6" max="6" width="21.21875" customWidth="1"/>
    <col min="7" max="7" width="15.77734375" style="6" customWidth="1"/>
    <col min="8" max="8" width="15.5546875" style="6" customWidth="1"/>
    <col min="9" max="9" width="12.44140625" style="6" customWidth="1"/>
  </cols>
  <sheetData>
    <row r="1" spans="1:9" s="2" customFormat="1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17</v>
      </c>
      <c r="F1" s="2" t="s">
        <v>4</v>
      </c>
      <c r="G1" s="5" t="s">
        <v>5</v>
      </c>
      <c r="H1" s="5" t="s">
        <v>18</v>
      </c>
      <c r="I1" s="5" t="s">
        <v>6</v>
      </c>
    </row>
    <row r="2" spans="1:9" x14ac:dyDescent="0.3">
      <c r="A2" s="1" t="s">
        <v>7</v>
      </c>
      <c r="B2" t="s">
        <v>8</v>
      </c>
      <c r="C2">
        <v>235</v>
      </c>
      <c r="D2">
        <v>320</v>
      </c>
      <c r="E2">
        <v>348</v>
      </c>
      <c r="G2" s="6">
        <f>(Table1[[#This Row],[FY23]]-Table1[[#This Row],[FY22]])/Table1[[#This Row],[FY22]]</f>
        <v>0.36170212765957449</v>
      </c>
      <c r="H2" s="6">
        <f>(Table1[[#This Row],[FY24]]-Table1[[#This Row],[FY23]])/Table1[[#This Row],[FY23]]</f>
        <v>8.7499999999999994E-2</v>
      </c>
      <c r="I2" s="6">
        <f>((Table1[[#This Row],[FY24]]/Table1[[#This Row],[FY22]])^0.5)-1</f>
        <v>0.2169022408680934</v>
      </c>
    </row>
    <row r="3" spans="1:9" x14ac:dyDescent="0.3">
      <c r="B3" t="s">
        <v>9</v>
      </c>
      <c r="C3">
        <v>0.93</v>
      </c>
      <c r="D3">
        <v>1.2</v>
      </c>
      <c r="E3">
        <v>1.4</v>
      </c>
      <c r="G3" s="6">
        <f>(Table1[[#This Row],[FY23]]-Table1[[#This Row],[FY22]])/Table1[[#This Row],[FY22]]</f>
        <v>0.2903225806451612</v>
      </c>
      <c r="H3" s="6">
        <f>(Table1[[#This Row],[FY24]]-Table1[[#This Row],[FY23]])/Table1[[#This Row],[FY23]]</f>
        <v>0.16666666666666663</v>
      </c>
      <c r="I3" s="6">
        <f>((Table1[[#This Row],[FY24]]/Table1[[#This Row],[FY22]])^0.5)-1</f>
        <v>0.22693779144911064</v>
      </c>
    </row>
    <row r="5" spans="1:9" x14ac:dyDescent="0.3">
      <c r="A5" s="1" t="s">
        <v>10</v>
      </c>
      <c r="B5" t="s">
        <v>11</v>
      </c>
      <c r="C5" s="3">
        <v>0.28999999999999998</v>
      </c>
      <c r="D5" s="3">
        <v>0.28999999999999998</v>
      </c>
      <c r="E5" s="3">
        <v>0.28999999999999998</v>
      </c>
      <c r="G5" s="6">
        <f>(Table1[[#This Row],[FY23]]-Table1[[#This Row],[FY22]])/Table1[[#This Row],[FY22]]</f>
        <v>0</v>
      </c>
      <c r="H5" s="6">
        <f>(Table1[[#This Row],[FY24]]-Table1[[#This Row],[FY23]])/Table1[[#This Row],[FY23]]</f>
        <v>0</v>
      </c>
      <c r="I5" s="6">
        <f>((Table1[[#This Row],[FY24]]/Table1[[#This Row],[FY22]])^0.5)-1</f>
        <v>0</v>
      </c>
    </row>
    <row r="6" spans="1:9" x14ac:dyDescent="0.3">
      <c r="B6" t="s">
        <v>12</v>
      </c>
      <c r="C6" s="3">
        <v>0.11</v>
      </c>
      <c r="D6" s="3">
        <v>0.16</v>
      </c>
      <c r="E6" s="3">
        <v>0.12</v>
      </c>
      <c r="G6" s="6">
        <f>(Table1[[#This Row],[FY23]]-Table1[[#This Row],[FY22]])/Table1[[#This Row],[FY22]]</f>
        <v>0.45454545454545459</v>
      </c>
      <c r="H6" s="6">
        <f>(Table1[[#This Row],[FY24]]-Table1[[#This Row],[FY23]])/Table1[[#This Row],[FY23]]</f>
        <v>-0.25000000000000006</v>
      </c>
      <c r="I6" s="6">
        <f>((Table1[[#This Row],[FY24]]/Table1[[#This Row],[FY22]])^0.5)-1</f>
        <v>4.4465935734187001E-2</v>
      </c>
    </row>
    <row r="7" spans="1:9" x14ac:dyDescent="0.3">
      <c r="B7" t="s">
        <v>13</v>
      </c>
      <c r="C7" s="3">
        <v>0.11</v>
      </c>
      <c r="D7" s="3">
        <v>0.1</v>
      </c>
      <c r="E7" s="3">
        <v>0.09</v>
      </c>
      <c r="G7" s="6">
        <f>(Table1[[#This Row],[FY23]]-Table1[[#This Row],[FY22]])/Table1[[#This Row],[FY22]]</f>
        <v>-9.090909090909087E-2</v>
      </c>
      <c r="H7" s="6">
        <f>(Table1[[#This Row],[FY24]]-Table1[[#This Row],[FY23]])/Table1[[#This Row],[FY23]]</f>
        <v>-0.10000000000000009</v>
      </c>
      <c r="I7" s="6">
        <f>((Table1[[#This Row],[FY24]]/Table1[[#This Row],[FY22]])^0.5)-1</f>
        <v>-9.5465966266709112E-2</v>
      </c>
    </row>
    <row r="8" spans="1:9" x14ac:dyDescent="0.3">
      <c r="B8" t="s">
        <v>14</v>
      </c>
      <c r="C8" s="3">
        <v>0.14000000000000001</v>
      </c>
      <c r="D8" s="3">
        <v>0.1</v>
      </c>
      <c r="E8" s="3">
        <v>0.14000000000000001</v>
      </c>
      <c r="G8" s="6">
        <f>(Table1[[#This Row],[FY23]]-Table1[[#This Row],[FY22]])/Table1[[#This Row],[FY22]]</f>
        <v>-0.28571428571428575</v>
      </c>
      <c r="H8" s="6">
        <f>(Table1[[#This Row],[FY24]]-Table1[[#This Row],[FY23]])/Table1[[#This Row],[FY23]]</f>
        <v>0.40000000000000008</v>
      </c>
      <c r="I8" s="6">
        <f>((Table1[[#This Row],[FY24]]/Table1[[#This Row],[FY22]])^0.5)-1</f>
        <v>0</v>
      </c>
    </row>
    <row r="9" spans="1:9" x14ac:dyDescent="0.3">
      <c r="B9" t="s">
        <v>15</v>
      </c>
      <c r="C9" s="4">
        <v>0.09</v>
      </c>
      <c r="D9" s="4">
        <v>0.09</v>
      </c>
      <c r="E9" s="3">
        <v>0.12</v>
      </c>
      <c r="G9" s="6">
        <f>(Table1[[#This Row],[FY23]]-Table1[[#This Row],[FY22]])/Table1[[#This Row],[FY22]]</f>
        <v>0</v>
      </c>
      <c r="H9" s="6">
        <f>(Table1[[#This Row],[FY24]]-Table1[[#This Row],[FY23]])/Table1[[#This Row],[FY23]]</f>
        <v>0.33333333333333331</v>
      </c>
      <c r="I9" s="6">
        <f>((Table1[[#This Row],[FY24]]/Table1[[#This Row],[FY22]])^0.5)-1</f>
        <v>0.15470053837925146</v>
      </c>
    </row>
    <row r="10" spans="1:9" x14ac:dyDescent="0.3">
      <c r="C10" s="4"/>
      <c r="D10" s="4"/>
      <c r="E10" s="3"/>
    </row>
    <row r="11" spans="1:9" x14ac:dyDescent="0.3">
      <c r="B11" s="1" t="s">
        <v>16</v>
      </c>
      <c r="C11" s="3">
        <v>0.96</v>
      </c>
      <c r="D11" s="3">
        <v>0.97</v>
      </c>
      <c r="E11" s="3">
        <v>0.95</v>
      </c>
      <c r="G11" s="6">
        <f>(Table1[[#This Row],[FY23]]-Table1[[#This Row],[FY22]])/Table1[[#This Row],[FY22]]</f>
        <v>1.0416666666666676E-2</v>
      </c>
      <c r="H11" s="6">
        <f>(Table1[[#This Row],[FY24]]-Table1[[#This Row],[FY23]])/Table1[[#This Row],[FY23]]</f>
        <v>-2.0618556701030948E-2</v>
      </c>
      <c r="I11" s="6">
        <f>((Table1[[#This Row],[FY24]]/Table1[[#This Row],[FY22]])^0.5)-1</f>
        <v>-5.2219678072231712E-3</v>
      </c>
    </row>
  </sheetData>
  <conditionalFormatting sqref="G3:G11">
    <cfRule type="colorScale" priority="17">
      <colorScale>
        <cfvo type="min"/>
        <cfvo type="max"/>
        <color rgb="FFFCFCFF"/>
        <color rgb="FF63BE7B"/>
      </colorScale>
    </cfRule>
  </conditionalFormatting>
  <conditionalFormatting sqref="G7">
    <cfRule type="colorScale" priority="4">
      <colorScale>
        <cfvo type="min"/>
        <cfvo type="max"/>
        <color rgb="FFFCFCFF"/>
        <color rgb="FF63BE7B"/>
      </colorScale>
    </cfRule>
  </conditionalFormatting>
  <conditionalFormatting sqref="G8">
    <cfRule type="colorScale" priority="11">
      <colorScale>
        <cfvo type="min"/>
        <cfvo type="max"/>
        <color rgb="FFFCFCFF"/>
        <color rgb="FF63BE7B"/>
      </colorScale>
    </cfRule>
  </conditionalFormatting>
  <conditionalFormatting sqref="G9:G10">
    <cfRule type="colorScale" priority="9">
      <colorScale>
        <cfvo type="min"/>
        <cfvo type="max"/>
        <color rgb="FFF8696B"/>
        <color rgb="FFFCFCFF"/>
      </colorScale>
    </cfRule>
  </conditionalFormatting>
  <conditionalFormatting sqref="G5:H5">
    <cfRule type="colorScale" priority="10">
      <colorScale>
        <cfvo type="min"/>
        <cfvo type="max"/>
        <color rgb="FFF8696B"/>
        <color rgb="FFFCFCFF"/>
      </colorScale>
    </cfRule>
  </conditionalFormatting>
  <conditionalFormatting sqref="G5:H11">
    <cfRule type="colorScale" priority="14">
      <colorScale>
        <cfvo type="min"/>
        <cfvo type="max"/>
        <color rgb="FFFCFCFF"/>
        <color rgb="FFF8696B"/>
      </colorScale>
    </cfRule>
  </conditionalFormatting>
  <conditionalFormatting sqref="G11:H11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:I2 G4:G11 G3:H3 I3:I11">
    <cfRule type="colorScale" priority="18">
      <colorScale>
        <cfvo type="min"/>
        <cfvo type="max"/>
        <color rgb="FFFCFCFF"/>
        <color rgb="FFF8696B"/>
      </colorScale>
    </cfRule>
  </conditionalFormatting>
  <conditionalFormatting sqref="H5:H11">
    <cfRule type="colorScale" priority="16">
      <colorScale>
        <cfvo type="min"/>
        <cfvo type="max"/>
        <color rgb="FF63BE7B"/>
        <color rgb="FFFCFCFF"/>
      </colorScale>
    </cfRule>
  </conditionalFormatting>
  <conditionalFormatting sqref="H6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">
      <colorScale>
        <cfvo type="min"/>
        <cfvo type="max"/>
        <color rgb="FFFCFCFF"/>
        <color rgb="FFF8696B"/>
      </colorScale>
    </cfRule>
  </conditionalFormatting>
  <conditionalFormatting sqref="H7">
    <cfRule type="colorScale" priority="3">
      <colorScale>
        <cfvo type="min"/>
        <cfvo type="max"/>
        <color rgb="FFFCFCFF"/>
        <color rgb="FF63BE7B"/>
      </colorScale>
    </cfRule>
  </conditionalFormatting>
  <conditionalFormatting sqref="H11">
    <cfRule type="colorScale" priority="8">
      <colorScale>
        <cfvo type="min"/>
        <cfvo type="max"/>
        <color rgb="FFFCFCFF"/>
        <color rgb="FF63BE7B"/>
      </colorScale>
    </cfRule>
  </conditionalFormatting>
  <conditionalFormatting sqref="I5">
    <cfRule type="colorScale" priority="5">
      <colorScale>
        <cfvo type="min"/>
        <cfvo type="max"/>
        <color rgb="FFF8696B"/>
        <color rgb="FFFCFCFF"/>
      </colorScale>
    </cfRule>
  </conditionalFormatting>
  <conditionalFormatting sqref="I7">
    <cfRule type="colorScale" priority="2">
      <colorScale>
        <cfvo type="min"/>
        <cfvo type="max"/>
        <color rgb="FFFCFCFF"/>
        <color rgb="FF63BE7B"/>
      </colorScale>
    </cfRule>
  </conditionalFormatting>
  <conditionalFormatting sqref="I8">
    <cfRule type="colorScale" priority="1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xr2:uid="{EACABF09-C43E-4AEF-B22D-F733D02A0D4A}">
          <x14:colorSeries theme="2" tint="-0.249977111117893"/>
          <x14:colorNegative rgb="FFD00000"/>
          <x14:colorAxis rgb="FF000000"/>
          <x14:colorMarkers rgb="FFD00000"/>
          <x14:colorFirst rgb="FFD00000"/>
          <x14:colorLast rgb="FFD00000"/>
          <x14:colorHigh theme="9" tint="-0.499984740745262"/>
          <x14:colorLow rgb="FFD00000"/>
          <x14:sparklines>
            <x14:sparkline>
              <xm:f>Sheet1!C2:E2</xm:f>
              <xm:sqref>F2</xm:sqref>
            </x14:sparkline>
            <x14:sparkline>
              <xm:f>Sheet1!C3:E3</xm:f>
              <xm:sqref>F3</xm:sqref>
            </x14:sparkline>
            <x14:sparkline>
              <xm:f>Sheet1!C4:E4</xm:f>
              <xm:sqref>F4</xm:sqref>
            </x14:sparkline>
            <x14:sparkline>
              <xm:f>Sheet1!C5:E5</xm:f>
              <xm:sqref>F5</xm:sqref>
            </x14:sparkline>
            <x14:sparkline>
              <xm:f>Sheet1!C6:E6</xm:f>
              <xm:sqref>F6</xm:sqref>
            </x14:sparkline>
            <x14:sparkline>
              <xm:f>Sheet1!C7:E7</xm:f>
              <xm:sqref>F7</xm:sqref>
            </x14:sparkline>
            <x14:sparkline>
              <xm:f>Sheet1!C8:E8</xm:f>
              <xm:sqref>F8</xm:sqref>
            </x14:sparkline>
            <x14:sparkline>
              <xm:f>Sheet1!C9:E9</xm:f>
              <xm:sqref>F9</xm:sqref>
            </x14:sparkline>
            <x14:sparkline>
              <xm:f>Sheet1!C10:E10</xm:f>
              <xm:sqref>F10</xm:sqref>
            </x14:sparkline>
            <x14:sparkline>
              <xm:f>Sheet1!C11:E11</xm:f>
              <xm:sqref>F11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Arkajyoti Basu Ray</dc:creator>
  <cp:lastModifiedBy>Arkajyoti Basu Ray</cp:lastModifiedBy>
  <dcterms:created xsi:type="dcterms:W3CDTF">2015-06-05T18:17:20Z</dcterms:created>
  <dcterms:modified xsi:type="dcterms:W3CDTF">2026-05-02T16:00:04Z</dcterms:modified>
</cp:coreProperties>
</file>