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rkaj\OneDrive\Desktop\Deloitte UK Reports Review (FY19-24)\Data Reports\Reports (FY22-24)\"/>
    </mc:Choice>
  </mc:AlternateContent>
  <xr:revisionPtr revIDLastSave="83" documentId="11_F25DC773A252ABDACC10483CE91C4E9C5BDE58F1" xr6:coauthVersionLast="47" xr6:coauthVersionMax="47" xr10:uidLastSave="{642A8005-1F06-4407-BE69-F8F1D031A045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I8" i="1"/>
  <c r="H8" i="1"/>
  <c r="G8" i="1"/>
  <c r="I7" i="1"/>
  <c r="H7" i="1"/>
  <c r="G7" i="1"/>
  <c r="I6" i="1"/>
  <c r="H6" i="1"/>
  <c r="G6" i="1"/>
  <c r="I5" i="1"/>
  <c r="H5" i="1"/>
  <c r="G5" i="1"/>
  <c r="I3" i="1"/>
  <c r="H3" i="1"/>
  <c r="I2" i="1"/>
  <c r="H2" i="1"/>
  <c r="G2" i="1"/>
</calcChain>
</file>

<file path=xl/sharedStrings.xml><?xml version="1.0" encoding="utf-8"?>
<sst xmlns="http://schemas.openxmlformats.org/spreadsheetml/2006/main" count="17" uniqueCount="17">
  <si>
    <t>METRIC</t>
  </si>
  <si>
    <t>CATEGORY</t>
  </si>
  <si>
    <t>FY22</t>
  </si>
  <si>
    <t>YEARLY TRENDS</t>
  </si>
  <si>
    <t>CAGR</t>
  </si>
  <si>
    <t>5 Million Futures Societal Impact</t>
  </si>
  <si>
    <t>Total Futures impacted as part of 5 Million Futures strategy</t>
  </si>
  <si>
    <t>Total Number of society partnerships</t>
  </si>
  <si>
    <t>Community Contribution</t>
  </si>
  <si>
    <t>Total community contribution</t>
  </si>
  <si>
    <t>Number of commmunity volunteers</t>
  </si>
  <si>
    <t>Community volunteering hours</t>
  </si>
  <si>
    <t>Number of pro bono hours</t>
  </si>
  <si>
    <t>FY23</t>
  </si>
  <si>
    <t>FY24</t>
  </si>
  <si>
    <t>YoY (22-23)</t>
  </si>
  <si>
    <t>YoY (23-24)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</si>
</sst>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_-;\-[$£-809]* #,##0_-;_-[$£-809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2" fillId="0" borderId="0" xfId="0" applyFont="1"/>
    <xf numFmtId="3" fontId="0" fillId="0" borderId="0" xfId="0" applyNumberFormat="1"/>
    <xf numFmtId="164" fontId="2" fillId="0" borderId="0" xfId="0" applyNumberFormat="1" applyFont="1"/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5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476382-21E5-4871-9386-0F3FBEDB7D54}" name="Table3" displayName="Table3" ref="A1:I8" totalsRowShown="0" headerRowDxfId="4">
  <autoFilter ref="A1:I8" xr:uid="{15476382-21E5-4871-9386-0F3FBEDB7D54}"/>
  <tableColumns count="9">
    <tableColumn id="1" xr3:uid="{6E693861-F571-42E5-82A1-0DF28FD206BD}" name="METRIC" dataDxfId="3"/>
    <tableColumn id="2" xr3:uid="{6E85E549-38E2-49FE-BDBD-AA3B91D977FC}" name="CATEGORY"/>
    <tableColumn id="3" xr3:uid="{C6011F2D-90E6-4F3D-A19B-9EE2AC175E48}" name="FY22"/>
    <tableColumn id="4" xr3:uid="{02D8B237-4E2C-4005-BAB2-03A353228A71}" name="FY23"/>
    <tableColumn id="5" xr3:uid="{432142F6-6ED0-452A-80A9-AFFD5D302413}" name="FY24"/>
    <tableColumn id="6" xr3:uid="{806A7E4E-4F0E-4FB4-9560-FD7D8B982871}" name="YEARLY TRENDS"/>
    <tableColumn id="7" xr3:uid="{A687D7C5-FFC5-4255-83F1-443096F5B48A}" name="YoY (22-23)" dataDxfId="2" dataCellStyle="Percent">
      <calculatedColumnFormula>(Table3[[#This Row],[FY23]]-Table3[[#This Row],[FY22]])/Table3[[#This Row],[FY22]]</calculatedColumnFormula>
    </tableColumn>
    <tableColumn id="8" xr3:uid="{B5696E96-00FE-45F4-894B-22CA41408024}" name="YoY (23-24)" dataDxfId="1" dataCellStyle="Percent">
      <calculatedColumnFormula>(Table3[[#This Row],[FY24]]-Table3[[#This Row],[FY23]])/Table3[[#This Row],[FY23]]</calculatedColumnFormula>
    </tableColumn>
    <tableColumn id="9" xr3:uid="{AAE89095-A0F9-4A77-97A0-51561EDFAEAE}" name="CAGR" dataDxfId="0" dataCellStyle="Percent">
      <calculatedColumnFormula>((Table3[[#This Row],[FY24]]/Table3[[#This Row],[FY22]])^0.5)-1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C1" zoomScale="145" zoomScaleNormal="145" workbookViewId="0">
      <selection activeCell="J8" sqref="J8"/>
    </sheetView>
  </sheetViews>
  <sheetFormatPr defaultRowHeight="14.4" x14ac:dyDescent="0.3"/>
  <cols>
    <col min="1" max="1" width="28.77734375" customWidth="1"/>
    <col min="2" max="2" width="50.33203125" customWidth="1"/>
    <col min="3" max="3" width="12" customWidth="1"/>
    <col min="4" max="4" width="14" customWidth="1"/>
    <col min="5" max="5" width="12.77734375" bestFit="1" customWidth="1"/>
    <col min="6" max="6" width="19.44140625" customWidth="1"/>
    <col min="7" max="7" width="15.21875" style="7" customWidth="1"/>
    <col min="8" max="8" width="17.109375" style="7" customWidth="1"/>
    <col min="9" max="9" width="12.21875" style="7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2" t="s">
        <v>15</v>
      </c>
      <c r="H1" s="2" t="s">
        <v>16</v>
      </c>
      <c r="I1" s="2" t="s">
        <v>4</v>
      </c>
    </row>
    <row r="2" spans="1:9" x14ac:dyDescent="0.3">
      <c r="A2" s="3" t="s">
        <v>5</v>
      </c>
      <c r="B2" t="s">
        <v>6</v>
      </c>
      <c r="C2" s="4">
        <v>344548</v>
      </c>
      <c r="D2" s="4">
        <v>638174</v>
      </c>
      <c r="E2" s="4">
        <v>661452</v>
      </c>
      <c r="G2" s="6">
        <f>(Table3[[#This Row],[FY23]]-Table3[[#This Row],[FY22]])/Table3[[#This Row],[FY22]]</f>
        <v>0.85220636892392354</v>
      </c>
      <c r="H2" s="6">
        <f>(Table3[[#This Row],[FY24]]-Table3[[#This Row],[FY23]])/Table3[[#This Row],[FY23]]</f>
        <v>3.6475945431810132E-2</v>
      </c>
      <c r="I2" s="6">
        <f>((Table3[[#This Row],[FY24]]/Table3[[#This Row],[FY22]])^0.5)-1</f>
        <v>0.38555669222347011</v>
      </c>
    </row>
    <row r="3" spans="1:9" x14ac:dyDescent="0.3">
      <c r="A3" s="3"/>
      <c r="B3" t="s">
        <v>7</v>
      </c>
      <c r="C3">
        <v>86</v>
      </c>
      <c r="D3">
        <v>91</v>
      </c>
      <c r="E3">
        <v>89</v>
      </c>
      <c r="G3" s="6">
        <f>(Table3[[#This Row],[FY23]]-Table3[[#This Row],[FY22]])/Table3[[#This Row],[FY22]]</f>
        <v>5.8139534883720929E-2</v>
      </c>
      <c r="H3" s="6">
        <f>(Table3[[#This Row],[FY24]]-Table3[[#This Row],[FY23]])/Table3[[#This Row],[FY23]]</f>
        <v>-2.197802197802198E-2</v>
      </c>
      <c r="I3" s="6">
        <f>((Table3[[#This Row],[FY24]]/Table3[[#This Row],[FY22]])^0.5)-1</f>
        <v>1.7292347818576914E-2</v>
      </c>
    </row>
    <row r="4" spans="1:9" x14ac:dyDescent="0.3">
      <c r="A4" s="3"/>
      <c r="G4" s="6"/>
      <c r="H4" s="6"/>
      <c r="I4" s="6"/>
    </row>
    <row r="5" spans="1:9" x14ac:dyDescent="0.3">
      <c r="A5" s="3" t="s">
        <v>8</v>
      </c>
      <c r="B5" s="3" t="s">
        <v>9</v>
      </c>
      <c r="C5" s="5">
        <v>8000000</v>
      </c>
      <c r="D5" s="5">
        <v>10400000</v>
      </c>
      <c r="E5" s="5">
        <v>10700000</v>
      </c>
      <c r="G5" s="6">
        <f>(Table3[[#This Row],[FY23]]-Table3[[#This Row],[FY22]])/Table3[[#This Row],[FY22]]</f>
        <v>0.3</v>
      </c>
      <c r="H5" s="6">
        <f>(Table3[[#This Row],[FY24]]-Table3[[#This Row],[FY23]])/Table3[[#This Row],[FY23]]</f>
        <v>2.8846153846153848E-2</v>
      </c>
      <c r="I5" s="6">
        <f>((Table3[[#This Row],[FY24]]/Table3[[#This Row],[FY22]])^0.5)-1</f>
        <v>0.15650335062203768</v>
      </c>
    </row>
    <row r="6" spans="1:9" x14ac:dyDescent="0.3">
      <c r="A6" s="3"/>
      <c r="B6" t="s">
        <v>10</v>
      </c>
      <c r="C6" s="4">
        <v>3537</v>
      </c>
      <c r="D6" s="4">
        <v>4966</v>
      </c>
      <c r="E6" s="4">
        <v>5287</v>
      </c>
      <c r="G6" s="6">
        <f>(Table3[[#This Row],[FY23]]-Table3[[#This Row],[FY22]])/Table3[[#This Row],[FY22]]</f>
        <v>0.40401470172462539</v>
      </c>
      <c r="H6" s="6">
        <f>(Table3[[#This Row],[FY24]]-Table3[[#This Row],[FY23]])/Table3[[#This Row],[FY23]]</f>
        <v>6.4639548932742652E-2</v>
      </c>
      <c r="I6" s="6">
        <f>((Table3[[#This Row],[FY24]]/Table3[[#This Row],[FY22]])^0.5)-1</f>
        <v>0.22260769617201603</v>
      </c>
    </row>
    <row r="7" spans="1:9" x14ac:dyDescent="0.3">
      <c r="A7" s="3"/>
      <c r="B7" t="s">
        <v>11</v>
      </c>
      <c r="C7" s="4">
        <v>31716</v>
      </c>
      <c r="D7" s="4">
        <v>52056</v>
      </c>
      <c r="E7" s="4">
        <v>55748</v>
      </c>
      <c r="G7" s="6">
        <f>(Table3[[#This Row],[FY23]]-Table3[[#This Row],[FY22]])/Table3[[#This Row],[FY22]]</f>
        <v>0.64131668558456301</v>
      </c>
      <c r="H7" s="6">
        <f>(Table3[[#This Row],[FY24]]-Table3[[#This Row],[FY23]])/Table3[[#This Row],[FY23]]</f>
        <v>7.0923620716151839E-2</v>
      </c>
      <c r="I7" s="6">
        <f>((Table3[[#This Row],[FY24]]/Table3[[#This Row],[FY22]])^0.5)-1</f>
        <v>0.32579214346293894</v>
      </c>
    </row>
    <row r="8" spans="1:9" x14ac:dyDescent="0.3">
      <c r="A8" s="3"/>
      <c r="B8" t="s">
        <v>12</v>
      </c>
      <c r="C8" s="4">
        <v>9727</v>
      </c>
      <c r="D8" s="4">
        <v>12566</v>
      </c>
      <c r="E8" s="4">
        <v>14389</v>
      </c>
      <c r="G8" s="6">
        <f>(Table3[[#This Row],[FY23]]-Table3[[#This Row],[FY22]])/Table3[[#This Row],[FY22]]</f>
        <v>0.29186799629896165</v>
      </c>
      <c r="H8" s="6">
        <f>(Table3[[#This Row],[FY24]]-Table3[[#This Row],[FY23]])/Table3[[#This Row],[FY23]]</f>
        <v>0.14507400923125896</v>
      </c>
      <c r="I8" s="6">
        <f>((Table3[[#This Row],[FY24]]/Table3[[#This Row],[FY22]])^0.5)-1</f>
        <v>0.21625838781058571</v>
      </c>
    </row>
  </sheetData>
  <conditionalFormatting sqref="G2">
    <cfRule type="colorScale" priority="7">
      <colorScale>
        <cfvo type="min"/>
        <cfvo type="max"/>
        <color rgb="FFFCFCFF"/>
        <color rgb="FFF8696B"/>
      </colorScale>
    </cfRule>
  </conditionalFormatting>
  <conditionalFormatting sqref="G8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:I3">
    <cfRule type="colorScale" priority="3">
      <colorScale>
        <cfvo type="min"/>
        <cfvo type="max"/>
        <color rgb="FFFCFCFF"/>
        <color rgb="FF63BE7B"/>
      </colorScale>
    </cfRule>
  </conditionalFormatting>
  <conditionalFormatting sqref="G2:I4">
    <cfRule type="colorScale" priority="8">
      <colorScale>
        <cfvo type="min"/>
        <cfvo type="max"/>
        <color rgb="FFFCFCFF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I8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:I4">
    <cfRule type="colorScale" priority="9">
      <colorScale>
        <cfvo type="min"/>
        <cfvo type="max"/>
        <color rgb="FFFCFCFF"/>
        <color rgb="FF63BE7B"/>
      </colorScale>
    </cfRule>
  </conditionalFormatting>
  <conditionalFormatting sqref="G5:I8">
    <cfRule type="colorScale" priority="1">
      <colorScale>
        <cfvo type="min"/>
        <cfvo type="max"/>
        <color rgb="FFFCFCFF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A0878518-0AD6-4721-94DB-674E51FEA849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Sheet1!C2:E2</xm:f>
              <xm:sqref>F2</xm:sqref>
            </x14:sparkline>
          </x14:sparklines>
        </x14:sparklineGroup>
        <x14:sparklineGroup displayEmptyCellsAs="gap" high="1" low="1" xr2:uid="{72B6C840-71E6-43D3-95F5-8F08B8A80BF6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Sheet1!C3:E3</xm:f>
              <xm:sqref>F3</xm:sqref>
            </x14:sparkline>
            <x14:sparkline>
              <xm:f>Sheet1!C4:E4</xm:f>
              <xm:sqref>F4</xm:sqref>
            </x14:sparkline>
            <x14:sparkline>
              <xm:f>Sheet1!C5:E5</xm:f>
              <xm:sqref>F5</xm:sqref>
            </x14:sparkline>
            <x14:sparkline>
              <xm:f>Sheet1!C6:E6</xm:f>
              <xm:sqref>F6</xm:sqref>
            </x14:sparkline>
            <x14:sparkline>
              <xm:f>Sheet1!C7:E7</xm:f>
              <xm:sqref>F7</xm:sqref>
            </x14:sparkline>
            <x14:sparkline>
              <xm:f>Sheet1!C8:E8</xm:f>
              <xm:sqref>F8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Basu Ray</dc:creator>
  <cp:lastModifiedBy>Arkajyoti Basu Ray</cp:lastModifiedBy>
  <dcterms:created xsi:type="dcterms:W3CDTF">2015-06-05T18:17:20Z</dcterms:created>
  <dcterms:modified xsi:type="dcterms:W3CDTF">2026-05-02T15:59:24Z</dcterms:modified>
</cp:coreProperties>
</file>