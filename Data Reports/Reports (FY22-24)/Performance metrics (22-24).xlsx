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21442badc355889/Desktop/Deloitte UK Reports Review (FY19-24)/Data Reports/Reports (FY22-24)/"/>
    </mc:Choice>
  </mc:AlternateContent>
  <xr:revisionPtr revIDLastSave="96" documentId="13_ncr:1_{B499D932-CC5C-46AB-B67F-FAE2DC78DAF0}" xr6:coauthVersionLast="47" xr6:coauthVersionMax="47" xr10:uidLastSave="{CDB79B53-575C-4E8C-BEEB-14690B4CAA56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5" i="1" l="1"/>
  <c r="G27" i="1"/>
  <c r="G6" i="1"/>
  <c r="I2" i="1"/>
  <c r="I3" i="1"/>
  <c r="I4" i="1"/>
  <c r="I6" i="1"/>
  <c r="I7" i="1"/>
  <c r="I8" i="1"/>
  <c r="I9" i="1"/>
  <c r="I10" i="1"/>
  <c r="I12" i="1"/>
  <c r="I13" i="1"/>
  <c r="I14" i="1"/>
  <c r="I15" i="1"/>
  <c r="I16" i="1"/>
  <c r="I17" i="1"/>
  <c r="I18" i="1"/>
  <c r="I20" i="1"/>
  <c r="I21" i="1"/>
  <c r="I22" i="1"/>
  <c r="I23" i="1"/>
  <c r="I24" i="1"/>
  <c r="I27" i="1"/>
  <c r="I28" i="1"/>
  <c r="I30" i="1"/>
  <c r="I31" i="1"/>
  <c r="H2" i="1"/>
  <c r="H3" i="1"/>
  <c r="H4" i="1"/>
  <c r="H6" i="1"/>
  <c r="H7" i="1"/>
  <c r="H8" i="1"/>
  <c r="H9" i="1"/>
  <c r="H10" i="1"/>
  <c r="H12" i="1"/>
  <c r="H13" i="1"/>
  <c r="H14" i="1"/>
  <c r="H15" i="1"/>
  <c r="H16" i="1"/>
  <c r="H17" i="1"/>
  <c r="H18" i="1"/>
  <c r="H20" i="1"/>
  <c r="H21" i="1"/>
  <c r="H22" i="1"/>
  <c r="H23" i="1"/>
  <c r="H24" i="1"/>
  <c r="H25" i="1"/>
  <c r="H27" i="1"/>
  <c r="H28" i="1"/>
  <c r="H30" i="1"/>
  <c r="H31" i="1"/>
  <c r="G2" i="1"/>
  <c r="G3" i="1"/>
  <c r="G4" i="1"/>
  <c r="G7" i="1"/>
  <c r="G8" i="1"/>
  <c r="G9" i="1"/>
  <c r="G10" i="1"/>
  <c r="G12" i="1"/>
  <c r="G13" i="1"/>
  <c r="G14" i="1"/>
  <c r="G15" i="1"/>
  <c r="G16" i="1"/>
  <c r="G17" i="1"/>
  <c r="G18" i="1"/>
  <c r="G20" i="1"/>
  <c r="G21" i="1"/>
  <c r="G22" i="1"/>
  <c r="G23" i="1"/>
  <c r="G24" i="1"/>
  <c r="G25" i="1"/>
  <c r="G28" i="1"/>
  <c r="G30" i="1"/>
  <c r="G31" i="1"/>
  <c r="E25" i="1"/>
  <c r="D25" i="1"/>
  <c r="I25" i="1"/>
</calcChain>
</file>

<file path=xl/sharedStrings.xml><?xml version="1.0" encoding="utf-8"?>
<sst xmlns="http://schemas.openxmlformats.org/spreadsheetml/2006/main" count="40" uniqueCount="40">
  <si>
    <t>METRIC</t>
  </si>
  <si>
    <t>CATEGORY</t>
  </si>
  <si>
    <t>FY22</t>
  </si>
  <si>
    <t>FY23</t>
  </si>
  <si>
    <t>YEARLY TRENDS</t>
  </si>
  <si>
    <t>YoY (22-23)</t>
  </si>
  <si>
    <t>CAGR</t>
  </si>
  <si>
    <t>Revenue</t>
  </si>
  <si>
    <t>Total revenue</t>
  </si>
  <si>
    <t>UK revenue</t>
  </si>
  <si>
    <t>Switzerland revenue</t>
  </si>
  <si>
    <t>Business Revenue (UK)</t>
  </si>
  <si>
    <t>Audit &amp; Assurance</t>
  </si>
  <si>
    <t>Risk advisory</t>
  </si>
  <si>
    <t>Tax &amp; legal</t>
  </si>
  <si>
    <t>Consulting</t>
  </si>
  <si>
    <t>Financial advisory</t>
  </si>
  <si>
    <t>Industry Revenue (UK)</t>
  </si>
  <si>
    <t>Financial services</t>
  </si>
  <si>
    <t>Consumer</t>
  </si>
  <si>
    <t>technology, media &amp; telecomms</t>
  </si>
  <si>
    <t>Energy, resources &amp; industrials</t>
  </si>
  <si>
    <t>Government &amp; Public services</t>
  </si>
  <si>
    <t>Life sciences &amp; Healthcare</t>
  </si>
  <si>
    <t>Others</t>
  </si>
  <si>
    <t>Financial Information</t>
  </si>
  <si>
    <t>Distributable profit</t>
  </si>
  <si>
    <t>Average profit per equity partner</t>
  </si>
  <si>
    <t>Average effective tax rate per equity partner</t>
  </si>
  <si>
    <t>Tax paid to HMRC</t>
  </si>
  <si>
    <t>Business taxes collected on behalf of HMRC</t>
  </si>
  <si>
    <t>Total UK tax contribution</t>
  </si>
  <si>
    <t>Number of full-time equivalents</t>
  </si>
  <si>
    <t>Equity partners</t>
  </si>
  <si>
    <t>Employees</t>
  </si>
  <si>
    <t>Quality &amp; Client care</t>
  </si>
  <si>
    <t>Net promoter score</t>
  </si>
  <si>
    <t>Client satisfaction score</t>
  </si>
  <si>
    <t>FY24</t>
  </si>
  <si>
    <t>YoY (23-24)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</si>
</sst>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£-809]* #,##0_-;\-[$£-809]* #,##0_-;_-[$£-809]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/>
    </xf>
    <xf numFmtId="3" fontId="0" fillId="0" borderId="0" xfId="0" applyNumberFormat="1"/>
    <xf numFmtId="164" fontId="0" fillId="0" borderId="0" xfId="0" applyNumberFormat="1"/>
    <xf numFmtId="9" fontId="0" fillId="0" borderId="0" xfId="0" applyNumberFormat="1"/>
    <xf numFmtId="3" fontId="2" fillId="0" borderId="0" xfId="0" applyNumberFormat="1" applyFont="1"/>
    <xf numFmtId="164" fontId="2" fillId="0" borderId="0" xfId="0" applyNumberFormat="1" applyFont="1"/>
    <xf numFmtId="9" fontId="3" fillId="0" borderId="0" xfId="1" applyFont="1" applyAlignment="1">
      <alignment horizontal="center" vertical="center"/>
    </xf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</cellXfs>
  <cellStyles count="2">
    <cellStyle name="Normal" xfId="0" builtinId="0"/>
    <cellStyle name="Percent" xfId="1" builtinId="5"/>
  </cellStyles>
  <dxfs count="4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93973F-0836-4EEE-BEFD-89E9B98228E1}" name="Table1" displayName="Table1" ref="A1:I31" totalsRowShown="0" headerRowDxfId="3">
  <autoFilter ref="A1:I31" xr:uid="{2C93973F-0836-4EEE-BEFD-89E9B98228E1}"/>
  <tableColumns count="9">
    <tableColumn id="1" xr3:uid="{E7F466C6-A565-4281-8E96-998CDF1F7EA3}" name="METRIC"/>
    <tableColumn id="2" xr3:uid="{4504833E-75CC-4415-887C-2DBC96E66399}" name="CATEGORY"/>
    <tableColumn id="3" xr3:uid="{ABE19335-C7E5-4759-B2FB-1D6E7C676514}" name="FY22"/>
    <tableColumn id="4" xr3:uid="{BEFB2F8C-1ADE-4B62-AD7C-CADBF9234804}" name="FY23"/>
    <tableColumn id="5" xr3:uid="{4BB436E1-B905-4A89-BB3C-0BF9ECF578D5}" name="FY24"/>
    <tableColumn id="6" xr3:uid="{35A5244D-F261-4143-9872-567296D160D6}" name="YEARLY TRENDS"/>
    <tableColumn id="7" xr3:uid="{7DFB5D01-FD35-417E-BB2C-9067E2C0E6F7}" name="YoY (22-23)" dataDxfId="2" dataCellStyle="Percent">
      <calculatedColumnFormula>(Table1[[#This Row],[FY23]]-Table1[[#This Row],[FY22]])/Table1[[#This Row],[FY22]]</calculatedColumnFormula>
    </tableColumn>
    <tableColumn id="8" xr3:uid="{C73D0F6F-F8F0-49C8-84C0-F8C3BDD75F9A}" name="YoY (23-24)" dataDxfId="1" dataCellStyle="Percent">
      <calculatedColumnFormula>(Table1[[#This Row],[FY24]]-Table1[[#This Row],[FY23]])/Table1[[#This Row],[FY23]]</calculatedColumnFormula>
    </tableColumn>
    <tableColumn id="9" xr3:uid="{7FE579FD-78D8-4B1D-B9C2-221F8E456AF4}" name="CAGR" dataDxfId="0" dataCellStyle="Percent">
      <calculatedColumnFormula>((Table1[[#This Row],[FY24]]/Table1[[#This Row],[FY22]])^0.5)-1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zoomScaleNormal="100" workbookViewId="0">
      <selection activeCell="J7" sqref="J7"/>
    </sheetView>
  </sheetViews>
  <sheetFormatPr defaultRowHeight="14.4" x14ac:dyDescent="0.3"/>
  <cols>
    <col min="1" max="1" width="28.33203125" customWidth="1"/>
    <col min="2" max="2" width="38.44140625" customWidth="1"/>
    <col min="3" max="3" width="15" customWidth="1"/>
    <col min="4" max="4" width="15.109375" customWidth="1"/>
    <col min="5" max="5" width="14.77734375" customWidth="1"/>
    <col min="6" max="6" width="22.88671875" customWidth="1"/>
    <col min="7" max="7" width="18.5546875" style="10" customWidth="1"/>
    <col min="8" max="8" width="17.88671875" style="10" customWidth="1"/>
    <col min="9" max="9" width="15" style="10" customWidth="1"/>
  </cols>
  <sheetData>
    <row r="1" spans="1:9" s="2" customFormat="1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38</v>
      </c>
      <c r="F1" s="2" t="s">
        <v>4</v>
      </c>
      <c r="G1" s="8" t="s">
        <v>5</v>
      </c>
      <c r="H1" s="8" t="s">
        <v>39</v>
      </c>
      <c r="I1" s="8" t="s">
        <v>6</v>
      </c>
    </row>
    <row r="2" spans="1:9" x14ac:dyDescent="0.3">
      <c r="A2" s="1" t="s">
        <v>7</v>
      </c>
      <c r="B2" s="1" t="s">
        <v>8</v>
      </c>
      <c r="C2" s="7">
        <v>4940000000</v>
      </c>
      <c r="D2" s="7">
        <v>5609000000</v>
      </c>
      <c r="E2" s="7">
        <v>5746000000</v>
      </c>
      <c r="G2" s="10">
        <f>(Table1[[#This Row],[FY23]]-Table1[[#This Row],[FY22]])/Table1[[#This Row],[FY22]]</f>
        <v>0.13542510121457491</v>
      </c>
      <c r="H2" s="10">
        <f>(Table1[[#This Row],[FY24]]-Table1[[#This Row],[FY23]])/Table1[[#This Row],[FY23]]</f>
        <v>2.4425031199857374E-2</v>
      </c>
      <c r="I2" s="10">
        <f>((Table1[[#This Row],[FY24]]/Table1[[#This Row],[FY22]])^0.5)-1</f>
        <v>7.8497980868226902E-2</v>
      </c>
    </row>
    <row r="3" spans="1:9" x14ac:dyDescent="0.3">
      <c r="B3" s="1" t="s">
        <v>9</v>
      </c>
      <c r="C3" s="7">
        <v>4299000000</v>
      </c>
      <c r="D3" s="7">
        <v>4837000000</v>
      </c>
      <c r="E3" s="7">
        <v>4921000000</v>
      </c>
      <c r="G3" s="10">
        <f>(Table1[[#This Row],[FY23]]-Table1[[#This Row],[FY22]])/Table1[[#This Row],[FY22]]</f>
        <v>0.12514538264712724</v>
      </c>
      <c r="H3" s="10">
        <f>(Table1[[#This Row],[FY24]]-Table1[[#This Row],[FY23]])/Table1[[#This Row],[FY23]]</f>
        <v>1.7366136034732273E-2</v>
      </c>
      <c r="I3" s="10">
        <f>((Table1[[#This Row],[FY24]]/Table1[[#This Row],[FY22]])^0.5)-1</f>
        <v>6.9899439396538865E-2</v>
      </c>
    </row>
    <row r="4" spans="1:9" x14ac:dyDescent="0.3">
      <c r="B4" s="1" t="s">
        <v>10</v>
      </c>
      <c r="C4" s="7">
        <v>641000000</v>
      </c>
      <c r="D4" s="7">
        <v>772000000</v>
      </c>
      <c r="E4" s="7">
        <v>825000000</v>
      </c>
      <c r="G4" s="10">
        <f>(Table1[[#This Row],[FY23]]-Table1[[#This Row],[FY22]])/Table1[[#This Row],[FY22]]</f>
        <v>0.20436817472698907</v>
      </c>
      <c r="H4" s="10">
        <f>(Table1[[#This Row],[FY24]]-Table1[[#This Row],[FY23]])/Table1[[#This Row],[FY23]]</f>
        <v>6.8652849740932637E-2</v>
      </c>
      <c r="I4" s="10">
        <f>((Table1[[#This Row],[FY24]]/Table1[[#This Row],[FY22]])^0.5)-1</f>
        <v>0.13448291395652245</v>
      </c>
    </row>
    <row r="5" spans="1:9" x14ac:dyDescent="0.3">
      <c r="C5" s="4"/>
      <c r="D5" s="4"/>
      <c r="E5" s="4"/>
    </row>
    <row r="6" spans="1:9" x14ac:dyDescent="0.3">
      <c r="A6" s="1" t="s">
        <v>11</v>
      </c>
      <c r="B6" t="s">
        <v>12</v>
      </c>
      <c r="C6" s="4">
        <v>723000000</v>
      </c>
      <c r="D6" s="4">
        <v>869000000</v>
      </c>
      <c r="E6" s="4">
        <v>941000000</v>
      </c>
      <c r="G6" s="10">
        <f>(Table1[[#This Row],[FY23]]-Table1[[#This Row],[FY22]])/Table1[[#This Row],[FY22]]</f>
        <v>0.20193637621023514</v>
      </c>
      <c r="H6" s="10">
        <f>(Table1[[#This Row],[FY24]]-Table1[[#This Row],[FY23]])/Table1[[#This Row],[FY23]]</f>
        <v>8.2853855005753735E-2</v>
      </c>
      <c r="I6" s="10">
        <f>((Table1[[#This Row],[FY24]]/Table1[[#This Row],[FY22]])^0.5)-1</f>
        <v>0.1408424248996436</v>
      </c>
    </row>
    <row r="7" spans="1:9" x14ac:dyDescent="0.3">
      <c r="B7" t="s">
        <v>13</v>
      </c>
      <c r="C7" s="4">
        <v>501000000</v>
      </c>
      <c r="D7" s="4">
        <v>493000000</v>
      </c>
      <c r="E7" s="4">
        <v>495000000</v>
      </c>
      <c r="G7" s="10">
        <f>(Table1[[#This Row],[FY23]]-Table1[[#This Row],[FY22]])/Table1[[#This Row],[FY22]]</f>
        <v>-1.5968063872255488E-2</v>
      </c>
      <c r="H7" s="10">
        <f>(Table1[[#This Row],[FY24]]-Table1[[#This Row],[FY23]])/Table1[[#This Row],[FY23]]</f>
        <v>4.0567951318458417E-3</v>
      </c>
      <c r="I7" s="10">
        <f>((Table1[[#This Row],[FY24]]/Table1[[#This Row],[FY22]])^0.5)-1</f>
        <v>-6.0060603324543216E-3</v>
      </c>
    </row>
    <row r="8" spans="1:9" x14ac:dyDescent="0.3">
      <c r="B8" t="s">
        <v>14</v>
      </c>
      <c r="C8" s="4">
        <v>1107000000</v>
      </c>
      <c r="D8" s="4">
        <v>1210000000</v>
      </c>
      <c r="E8" s="4">
        <v>1249000000</v>
      </c>
      <c r="G8" s="10">
        <f>(Table1[[#This Row],[FY23]]-Table1[[#This Row],[FY22]])/Table1[[#This Row],[FY22]]</f>
        <v>9.3044263775971095E-2</v>
      </c>
      <c r="H8" s="10">
        <f>(Table1[[#This Row],[FY24]]-Table1[[#This Row],[FY23]])/Table1[[#This Row],[FY23]]</f>
        <v>3.2231404958677684E-2</v>
      </c>
      <c r="I8" s="10">
        <f>((Table1[[#This Row],[FY24]]/Table1[[#This Row],[FY22]])^0.5)-1</f>
        <v>6.2202718919271982E-2</v>
      </c>
    </row>
    <row r="9" spans="1:9" x14ac:dyDescent="0.3">
      <c r="B9" t="s">
        <v>15</v>
      </c>
      <c r="C9" s="4">
        <v>1370000000</v>
      </c>
      <c r="D9" s="4">
        <v>1596000000</v>
      </c>
      <c r="E9" s="4">
        <v>1583000000</v>
      </c>
      <c r="G9" s="10">
        <f>(Table1[[#This Row],[FY23]]-Table1[[#This Row],[FY22]])/Table1[[#This Row],[FY22]]</f>
        <v>0.16496350364963502</v>
      </c>
      <c r="H9" s="10">
        <f>(Table1[[#This Row],[FY24]]-Table1[[#This Row],[FY23]])/Table1[[#This Row],[FY23]]</f>
        <v>-8.1453634085213028E-3</v>
      </c>
      <c r="I9" s="10">
        <f>((Table1[[#This Row],[FY24]]/Table1[[#This Row],[FY22]])^0.5)-1</f>
        <v>7.4929975651783831E-2</v>
      </c>
    </row>
    <row r="10" spans="1:9" x14ac:dyDescent="0.3">
      <c r="B10" t="s">
        <v>16</v>
      </c>
      <c r="C10" s="4">
        <v>598000000</v>
      </c>
      <c r="D10" s="4">
        <v>669000000</v>
      </c>
      <c r="E10" s="4">
        <v>653000000</v>
      </c>
      <c r="G10" s="10">
        <f>(Table1[[#This Row],[FY23]]-Table1[[#This Row],[FY22]])/Table1[[#This Row],[FY22]]</f>
        <v>0.11872909698996656</v>
      </c>
      <c r="H10" s="10">
        <f>(Table1[[#This Row],[FY24]]-Table1[[#This Row],[FY23]])/Table1[[#This Row],[FY23]]</f>
        <v>-2.391629297458894E-2</v>
      </c>
      <c r="I10" s="10">
        <f>((Table1[[#This Row],[FY24]]/Table1[[#This Row],[FY22]])^0.5)-1</f>
        <v>4.4975236140626151E-2</v>
      </c>
    </row>
    <row r="12" spans="1:9" x14ac:dyDescent="0.3">
      <c r="A12" s="1" t="s">
        <v>17</v>
      </c>
      <c r="B12" t="s">
        <v>18</v>
      </c>
      <c r="C12" s="4">
        <v>1394000000</v>
      </c>
      <c r="D12" s="4">
        <v>1591000000</v>
      </c>
      <c r="E12" s="4">
        <v>1617000000</v>
      </c>
      <c r="G12" s="10">
        <f>(Table1[[#This Row],[FY23]]-Table1[[#This Row],[FY22]])/Table1[[#This Row],[FY22]]</f>
        <v>0.14131994261119082</v>
      </c>
      <c r="H12" s="10">
        <f>(Table1[[#This Row],[FY24]]-Table1[[#This Row],[FY23]])/Table1[[#This Row],[FY23]]</f>
        <v>1.6341923318667503E-2</v>
      </c>
      <c r="I12" s="10">
        <f>((Table1[[#This Row],[FY24]]/Table1[[#This Row],[FY22]])^0.5)-1</f>
        <v>7.7019640301609682E-2</v>
      </c>
    </row>
    <row r="13" spans="1:9" x14ac:dyDescent="0.3">
      <c r="B13" t="s">
        <v>19</v>
      </c>
      <c r="C13" s="4">
        <v>753000000</v>
      </c>
      <c r="D13" s="4">
        <v>859000000</v>
      </c>
      <c r="E13" s="4">
        <v>942000000</v>
      </c>
      <c r="G13" s="10">
        <f>(Table1[[#This Row],[FY23]]-Table1[[#This Row],[FY22]])/Table1[[#This Row],[FY22]]</f>
        <v>0.1407702523240372</v>
      </c>
      <c r="H13" s="10">
        <f>(Table1[[#This Row],[FY24]]-Table1[[#This Row],[FY23]])/Table1[[#This Row],[FY23]]</f>
        <v>9.662398137369034E-2</v>
      </c>
      <c r="I13" s="10">
        <f>((Table1[[#This Row],[FY24]]/Table1[[#This Row],[FY22]])^0.5)-1</f>
        <v>0.11847933192180848</v>
      </c>
    </row>
    <row r="14" spans="1:9" x14ac:dyDescent="0.3">
      <c r="B14" t="s">
        <v>20</v>
      </c>
      <c r="C14" s="4">
        <v>654000000</v>
      </c>
      <c r="D14" s="4">
        <v>694000000</v>
      </c>
      <c r="E14" s="4">
        <v>661000000</v>
      </c>
      <c r="G14" s="10">
        <f>(Table1[[#This Row],[FY23]]-Table1[[#This Row],[FY22]])/Table1[[#This Row],[FY22]]</f>
        <v>6.1162079510703363E-2</v>
      </c>
      <c r="H14" s="10">
        <f>(Table1[[#This Row],[FY24]]-Table1[[#This Row],[FY23]])/Table1[[#This Row],[FY23]]</f>
        <v>-4.7550432276657062E-2</v>
      </c>
      <c r="I14" s="10">
        <f>((Table1[[#This Row],[FY24]]/Table1[[#This Row],[FY22]])^0.5)-1</f>
        <v>5.3374378358606034E-3</v>
      </c>
    </row>
    <row r="15" spans="1:9" x14ac:dyDescent="0.3">
      <c r="B15" t="s">
        <v>21</v>
      </c>
      <c r="C15" s="4">
        <v>477000000</v>
      </c>
      <c r="D15" s="4">
        <v>477000000</v>
      </c>
      <c r="E15" s="4">
        <v>551000000</v>
      </c>
      <c r="G15" s="10">
        <f>(Table1[[#This Row],[FY23]]-Table1[[#This Row],[FY22]])/Table1[[#This Row],[FY22]]</f>
        <v>0</v>
      </c>
      <c r="H15" s="10">
        <f>(Table1[[#This Row],[FY24]]-Table1[[#This Row],[FY23]])/Table1[[#This Row],[FY23]]</f>
        <v>0.15513626834381553</v>
      </c>
      <c r="I15" s="10">
        <f>((Table1[[#This Row],[FY24]]/Table1[[#This Row],[FY22]])^0.5)-1</f>
        <v>7.4772658911555823E-2</v>
      </c>
    </row>
    <row r="16" spans="1:9" x14ac:dyDescent="0.3">
      <c r="B16" t="s">
        <v>22</v>
      </c>
      <c r="C16" s="4">
        <v>628000000</v>
      </c>
      <c r="D16" s="4">
        <v>708000000</v>
      </c>
      <c r="E16" s="4">
        <v>761000000</v>
      </c>
      <c r="G16" s="10">
        <f>(Table1[[#This Row],[FY23]]-Table1[[#This Row],[FY22]])/Table1[[#This Row],[FY22]]</f>
        <v>0.12738853503184713</v>
      </c>
      <c r="H16" s="10">
        <f>(Table1[[#This Row],[FY24]]-Table1[[#This Row],[FY23]])/Table1[[#This Row],[FY23]]</f>
        <v>7.4858757062146897E-2</v>
      </c>
      <c r="I16" s="10">
        <f>((Table1[[#This Row],[FY24]]/Table1[[#This Row],[FY22]])^0.5)-1</f>
        <v>0.1008103558244926</v>
      </c>
    </row>
    <row r="17" spans="1:10" x14ac:dyDescent="0.3">
      <c r="B17" t="s">
        <v>23</v>
      </c>
      <c r="C17" s="4">
        <v>187000000</v>
      </c>
      <c r="D17" s="4">
        <v>201000000</v>
      </c>
      <c r="E17" s="4">
        <v>187000000</v>
      </c>
      <c r="G17" s="10">
        <f>(Table1[[#This Row],[FY23]]-Table1[[#This Row],[FY22]])/Table1[[#This Row],[FY22]]</f>
        <v>7.4866310160427801E-2</v>
      </c>
      <c r="H17" s="10">
        <f>(Table1[[#This Row],[FY24]]-Table1[[#This Row],[FY23]])/Table1[[#This Row],[FY23]]</f>
        <v>-6.965174129353234E-2</v>
      </c>
      <c r="I17" s="10">
        <f>((Table1[[#This Row],[FY24]]/Table1[[#This Row],[FY22]])^0.5)-1</f>
        <v>0</v>
      </c>
    </row>
    <row r="18" spans="1:10" x14ac:dyDescent="0.3">
      <c r="B18" t="s">
        <v>24</v>
      </c>
      <c r="C18" s="4">
        <v>196000000</v>
      </c>
      <c r="D18" s="4">
        <v>224000000</v>
      </c>
      <c r="E18" s="4">
        <v>202000000</v>
      </c>
      <c r="G18" s="10">
        <f>(Table1[[#This Row],[FY23]]-Table1[[#This Row],[FY22]])/Table1[[#This Row],[FY22]]</f>
        <v>0.14285714285714285</v>
      </c>
      <c r="H18" s="10">
        <f>(Table1[[#This Row],[FY24]]-Table1[[#This Row],[FY23]])/Table1[[#This Row],[FY23]]</f>
        <v>-9.8214285714285712E-2</v>
      </c>
      <c r="I18" s="10">
        <f>((Table1[[#This Row],[FY24]]/Table1[[#This Row],[FY22]])^0.5)-1</f>
        <v>1.5190743110849558E-2</v>
      </c>
    </row>
    <row r="20" spans="1:10" x14ac:dyDescent="0.3">
      <c r="A20" s="1" t="s">
        <v>25</v>
      </c>
      <c r="B20" t="s">
        <v>26</v>
      </c>
      <c r="C20" s="3">
        <v>711000000</v>
      </c>
      <c r="D20" s="3">
        <v>756000000</v>
      </c>
      <c r="E20" s="3">
        <v>756000000</v>
      </c>
      <c r="G20" s="10">
        <f>(Table1[[#This Row],[FY23]]-Table1[[#This Row],[FY22]])/Table1[[#This Row],[FY22]]</f>
        <v>6.3291139240506333E-2</v>
      </c>
      <c r="H20" s="10">
        <f>(Table1[[#This Row],[FY24]]-Table1[[#This Row],[FY23]])/Table1[[#This Row],[FY23]]</f>
        <v>0</v>
      </c>
      <c r="I20" s="10">
        <f>((Table1[[#This Row],[FY24]]/Table1[[#This Row],[FY22]])^0.5)-1</f>
        <v>3.1160093894496255E-2</v>
      </c>
    </row>
    <row r="21" spans="1:10" x14ac:dyDescent="0.3">
      <c r="B21" t="s">
        <v>27</v>
      </c>
      <c r="C21" s="3">
        <v>1058000</v>
      </c>
      <c r="D21" s="3">
        <v>1060000</v>
      </c>
      <c r="E21" s="3">
        <v>1012000</v>
      </c>
      <c r="G21" s="10">
        <f>(Table1[[#This Row],[FY23]]-Table1[[#This Row],[FY22]])/Table1[[#This Row],[FY22]]</f>
        <v>1.890359168241966E-3</v>
      </c>
      <c r="H21" s="10">
        <f>(Table1[[#This Row],[FY24]]-Table1[[#This Row],[FY23]])/Table1[[#This Row],[FY23]]</f>
        <v>-4.5283018867924525E-2</v>
      </c>
      <c r="I21" s="10">
        <f>((Table1[[#This Row],[FY24]]/Table1[[#This Row],[FY22]])^0.5)-1</f>
        <v>-2.1980706156348506E-2</v>
      </c>
    </row>
    <row r="22" spans="1:10" x14ac:dyDescent="0.3">
      <c r="B22" t="s">
        <v>28</v>
      </c>
      <c r="C22" s="5">
        <v>0.55000000000000004</v>
      </c>
      <c r="D22" s="5">
        <v>0.5</v>
      </c>
      <c r="E22" s="5">
        <v>0.5</v>
      </c>
      <c r="G22" s="10">
        <f>(Table1[[#This Row],[FY23]]-Table1[[#This Row],[FY22]])/Table1[[#This Row],[FY22]]</f>
        <v>-9.0909090909090981E-2</v>
      </c>
      <c r="H22" s="10">
        <f>(Table1[[#This Row],[FY24]]-Table1[[#This Row],[FY23]])/Table1[[#This Row],[FY23]]</f>
        <v>0</v>
      </c>
      <c r="I22" s="10">
        <f>((Table1[[#This Row],[FY24]]/Table1[[#This Row],[FY22]])^0.5)-1</f>
        <v>-4.6537410754407649E-2</v>
      </c>
    </row>
    <row r="23" spans="1:10" x14ac:dyDescent="0.3">
      <c r="B23" t="s">
        <v>29</v>
      </c>
      <c r="C23" s="3">
        <v>594000000</v>
      </c>
      <c r="D23" s="3">
        <v>613000000</v>
      </c>
      <c r="E23" s="3">
        <v>603000000</v>
      </c>
      <c r="G23" s="10">
        <f>(Table1[[#This Row],[FY23]]-Table1[[#This Row],[FY22]])/Table1[[#This Row],[FY22]]</f>
        <v>3.1986531986531987E-2</v>
      </c>
      <c r="H23" s="10">
        <f>(Table1[[#This Row],[FY24]]-Table1[[#This Row],[FY23]])/Table1[[#This Row],[FY23]]</f>
        <v>-1.6313213703099509E-2</v>
      </c>
      <c r="I23" s="10">
        <f>((Table1[[#This Row],[FY24]]/Table1[[#This Row],[FY22]])^0.5)-1</f>
        <v>7.5472768815938451E-3</v>
      </c>
    </row>
    <row r="24" spans="1:10" x14ac:dyDescent="0.3">
      <c r="B24" t="s">
        <v>30</v>
      </c>
      <c r="C24" s="3">
        <v>902000000</v>
      </c>
      <c r="D24" s="3">
        <v>1084000000</v>
      </c>
      <c r="E24" s="3">
        <v>1151000000</v>
      </c>
      <c r="G24" s="10">
        <f>(Table1[[#This Row],[FY23]]-Table1[[#This Row],[FY22]])/Table1[[#This Row],[FY22]]</f>
        <v>0.20177383592017739</v>
      </c>
      <c r="H24" s="10">
        <f>(Table1[[#This Row],[FY24]]-Table1[[#This Row],[FY23]])/Table1[[#This Row],[FY23]]</f>
        <v>6.1808118081180814E-2</v>
      </c>
      <c r="I24" s="10">
        <f>((Table1[[#This Row],[FY24]]/Table1[[#This Row],[FY22]])^0.5)-1</f>
        <v>0.12962525426692073</v>
      </c>
    </row>
    <row r="25" spans="1:10" x14ac:dyDescent="0.3">
      <c r="B25" s="1" t="s">
        <v>31</v>
      </c>
      <c r="C25" s="6">
        <f>C23+C24</f>
        <v>1496000000</v>
      </c>
      <c r="D25" s="6">
        <f>D23+D24</f>
        <v>1697000000</v>
      </c>
      <c r="E25" s="6">
        <f>E23+E24</f>
        <v>1754000000</v>
      </c>
      <c r="G25" s="10">
        <f>(Table1[[#This Row],[FY23]]-Table1[[#This Row],[FY22]])/Table1[[#This Row],[FY22]]</f>
        <v>0.13435828877005349</v>
      </c>
      <c r="H25" s="10">
        <f>(Table1[[#This Row],[FY24]]-Table1[[#This Row],[FY23]])/Table1[[#This Row],[FY23]]</f>
        <v>3.358868591632292E-2</v>
      </c>
      <c r="I25" s="10">
        <f>((Table1[[#This Row],[FY24]]/Table1[[#This Row],[FY22]])^0.5)-1</f>
        <v>8.2801871557363071E-2</v>
      </c>
    </row>
    <row r="27" spans="1:10" x14ac:dyDescent="0.3">
      <c r="A27" s="1" t="s">
        <v>32</v>
      </c>
      <c r="B27" t="s">
        <v>33</v>
      </c>
      <c r="C27">
        <v>672</v>
      </c>
      <c r="D27">
        <v>714</v>
      </c>
      <c r="E27">
        <v>749</v>
      </c>
      <c r="G27" s="10">
        <f>(Table1[[#This Row],[FY23]]-Table1[[#This Row],[FY22]])/Table1[[#This Row],[FY22]]</f>
        <v>6.25E-2</v>
      </c>
      <c r="H27" s="10">
        <f>(Table1[[#This Row],[FY24]]-Table1[[#This Row],[FY23]])/Table1[[#This Row],[FY23]]</f>
        <v>4.9019607843137254E-2</v>
      </c>
      <c r="I27" s="10">
        <f>((Table1[[#This Row],[FY24]]/Table1[[#This Row],[FY22]])^0.5)-1</f>
        <v>5.5738288276660608E-2</v>
      </c>
    </row>
    <row r="28" spans="1:10" x14ac:dyDescent="0.3">
      <c r="B28" t="s">
        <v>34</v>
      </c>
      <c r="C28" s="3">
        <v>22609</v>
      </c>
      <c r="D28" s="3">
        <v>26503</v>
      </c>
      <c r="E28" s="3">
        <v>26824</v>
      </c>
      <c r="G28" s="10">
        <f>(Table1[[#This Row],[FY23]]-Table1[[#This Row],[FY22]])/Table1[[#This Row],[FY22]]</f>
        <v>0.17223229687292671</v>
      </c>
      <c r="H28" s="10">
        <f>(Table1[[#This Row],[FY24]]-Table1[[#This Row],[FY23]])/Table1[[#This Row],[FY23]]</f>
        <v>1.2111836395879712E-2</v>
      </c>
      <c r="I28" s="10">
        <f>((Table1[[#This Row],[FY24]]/Table1[[#This Row],[FY22]])^0.5)-1</f>
        <v>8.9233759424770076E-2</v>
      </c>
    </row>
    <row r="30" spans="1:10" x14ac:dyDescent="0.3">
      <c r="A30" s="1" t="s">
        <v>35</v>
      </c>
      <c r="B30" s="1" t="s">
        <v>36</v>
      </c>
      <c r="C30" s="1">
        <v>51</v>
      </c>
      <c r="D30" s="1">
        <v>55</v>
      </c>
      <c r="E30" s="1">
        <v>57</v>
      </c>
      <c r="G30" s="10">
        <f>(Table1[[#This Row],[FY23]]-Table1[[#This Row],[FY22]])/Table1[[#This Row],[FY22]]</f>
        <v>7.8431372549019607E-2</v>
      </c>
      <c r="H30" s="10">
        <f>(Table1[[#This Row],[FY24]]-Table1[[#This Row],[FY23]])/Table1[[#This Row],[FY23]]</f>
        <v>3.6363636363636362E-2</v>
      </c>
      <c r="I30" s="10">
        <f>((Table1[[#This Row],[FY24]]/Table1[[#This Row],[FY22]])^0.5)-1</f>
        <v>5.7188279741848813E-2</v>
      </c>
      <c r="J30" s="9"/>
    </row>
    <row r="31" spans="1:10" x14ac:dyDescent="0.3">
      <c r="B31" s="1" t="s">
        <v>37</v>
      </c>
      <c r="C31" s="1">
        <v>85</v>
      </c>
      <c r="D31" s="1">
        <v>86</v>
      </c>
      <c r="E31" s="1">
        <v>86</v>
      </c>
      <c r="G31" s="10">
        <f>(Table1[[#This Row],[FY23]]-Table1[[#This Row],[FY22]])/Table1[[#This Row],[FY22]]</f>
        <v>1.1764705882352941E-2</v>
      </c>
      <c r="H31" s="10">
        <f>(Table1[[#This Row],[FY24]]-Table1[[#This Row],[FY23]])/Table1[[#This Row],[FY23]]</f>
        <v>0</v>
      </c>
      <c r="I31" s="10">
        <f>((Table1[[#This Row],[FY24]]/Table1[[#This Row],[FY22]])^0.5)-1</f>
        <v>5.8651529317201856E-3</v>
      </c>
    </row>
  </sheetData>
  <conditionalFormatting sqref="G7">
    <cfRule type="colorScale" priority="21">
      <colorScale>
        <cfvo type="min"/>
        <cfvo type="max"/>
        <color rgb="FFFCFCFF"/>
        <color rgb="FFF8696B"/>
      </colorScale>
    </cfRule>
  </conditionalFormatting>
  <conditionalFormatting sqref="G13">
    <cfRule type="colorScale" priority="30">
      <colorScale>
        <cfvo type="min"/>
        <cfvo type="max"/>
        <color rgb="FFFCFCFF"/>
        <color rgb="FFF8696B"/>
      </colorScale>
    </cfRule>
  </conditionalFormatting>
  <conditionalFormatting sqref="G16">
    <cfRule type="colorScale" priority="31">
      <colorScale>
        <cfvo type="min"/>
        <cfvo type="max"/>
        <color rgb="FFFCFCFF"/>
        <color rgb="FFF8696B"/>
      </colorScale>
    </cfRule>
  </conditionalFormatting>
  <conditionalFormatting sqref="G22">
    <cfRule type="colorScale" priority="9">
      <colorScale>
        <cfvo type="min"/>
        <cfvo type="max"/>
        <color rgb="FFFCFCFF"/>
        <color rgb="FF63BE7B"/>
      </colorScale>
    </cfRule>
  </conditionalFormatting>
  <conditionalFormatting sqref="G23">
    <cfRule type="colorScale" priority="7">
      <colorScale>
        <cfvo type="min"/>
        <cfvo type="max"/>
        <color rgb="FFFCFCFF"/>
        <color rgb="FFF8696B"/>
      </colorScale>
    </cfRule>
  </conditionalFormatting>
  <conditionalFormatting sqref="G24">
    <cfRule type="colorScale" priority="6">
      <colorScale>
        <cfvo type="min"/>
        <cfvo type="max"/>
        <color rgb="FFFCFCFF"/>
        <color rgb="FFF8696B"/>
      </colorScale>
    </cfRule>
  </conditionalFormatting>
  <conditionalFormatting sqref="G27">
    <cfRule type="colorScale" priority="26">
      <colorScale>
        <cfvo type="min"/>
        <cfvo type="max"/>
        <color rgb="FFFCFCFF"/>
        <color rgb="FFF8696B"/>
      </colorScale>
    </cfRule>
  </conditionalFormatting>
  <conditionalFormatting sqref="G30">
    <cfRule type="colorScale" priority="24">
      <colorScale>
        <cfvo type="min"/>
        <cfvo type="max"/>
        <color rgb="FFFCFCFF"/>
        <color rgb="FFF8696B"/>
      </colorScale>
    </cfRule>
  </conditionalFormatting>
  <conditionalFormatting sqref="G2:I4">
    <cfRule type="colorScale" priority="36">
      <colorScale>
        <cfvo type="min"/>
        <cfvo type="max"/>
        <color rgb="FFFCFCFF"/>
        <color rgb="FF63BE7B"/>
      </colorScale>
    </cfRule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6:I10">
    <cfRule type="colorScale" priority="22">
      <colorScale>
        <cfvo type="min"/>
        <cfvo type="max"/>
        <color rgb="FFFCFCFF"/>
        <color rgb="FF63BE7B"/>
      </colorScale>
    </cfRule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2:I18">
    <cfRule type="colorScale" priority="17">
      <colorScale>
        <cfvo type="min"/>
        <cfvo type="max"/>
        <color rgb="FFFCFCFF"/>
        <color rgb="FF63BE7B"/>
      </colorScale>
    </cfRule>
  </conditionalFormatting>
  <conditionalFormatting sqref="G20:I25">
    <cfRule type="colorScale" priority="13">
      <colorScale>
        <cfvo type="min"/>
        <cfvo type="max"/>
        <color rgb="FFFCFCFF"/>
        <color rgb="FF63BE7B"/>
      </colorScale>
    </cfRule>
  </conditionalFormatting>
  <conditionalFormatting sqref="G22:I22">
    <cfRule type="colorScale" priority="8">
      <colorScale>
        <cfvo type="min"/>
        <cfvo type="max"/>
        <color rgb="FF63BE7B"/>
        <color rgb="FFFCFCFF"/>
      </colorScale>
    </cfRule>
  </conditionalFormatting>
  <conditionalFormatting sqref="G24:I25">
    <cfRule type="colorScale" priority="3">
      <colorScale>
        <cfvo type="min"/>
        <cfvo type="max"/>
        <color rgb="FFFCFCFF"/>
        <color rgb="FFF8696B"/>
      </colorScale>
    </cfRule>
  </conditionalFormatting>
  <conditionalFormatting sqref="G27:I28">
    <cfRule type="colorScale" priority="27">
      <colorScale>
        <cfvo type="min"/>
        <cfvo type="max"/>
        <color rgb="FFFCFCFF"/>
        <color rgb="FF63BE7B"/>
      </colorScale>
    </cfRule>
  </conditionalFormatting>
  <conditionalFormatting sqref="G30:I31">
    <cfRule type="colorScale" priority="1">
      <colorScale>
        <cfvo type="min"/>
        <cfvo type="max"/>
        <color rgb="FFFCFCFF"/>
        <color rgb="FF63BE7B"/>
      </colorScale>
    </cfRule>
  </conditionalFormatting>
  <conditionalFormatting sqref="H7">
    <cfRule type="colorScale" priority="33">
      <colorScale>
        <cfvo type="min"/>
        <cfvo type="max"/>
        <color rgb="FFFCFCFF"/>
        <color rgb="FFF8696B"/>
      </colorScale>
    </cfRule>
  </conditionalFormatting>
  <conditionalFormatting sqref="H9">
    <cfRule type="colorScale" priority="19">
      <colorScale>
        <cfvo type="min"/>
        <cfvo type="max"/>
        <color rgb="FFFCFCFF"/>
        <color rgb="FFF8696B"/>
      </colorScale>
    </cfRule>
  </conditionalFormatting>
  <conditionalFormatting sqref="H10">
    <cfRule type="colorScale" priority="18">
      <colorScale>
        <cfvo type="min"/>
        <cfvo type="max"/>
        <color rgb="FFFCFCFF"/>
        <color rgb="FFF8696B"/>
      </colorScale>
    </cfRule>
  </conditionalFormatting>
  <conditionalFormatting sqref="H14">
    <cfRule type="colorScale" priority="16">
      <colorScale>
        <cfvo type="min"/>
        <cfvo type="max"/>
        <color rgb="FFFCFCFF"/>
        <color rgb="FFF8696B"/>
      </colorScale>
    </cfRule>
  </conditionalFormatting>
  <conditionalFormatting sqref="H17">
    <cfRule type="colorScale" priority="15">
      <colorScale>
        <cfvo type="min"/>
        <cfvo type="max"/>
        <color rgb="FFFCFCFF"/>
        <color rgb="FFF8696B"/>
      </colorScale>
    </cfRule>
  </conditionalFormatting>
  <conditionalFormatting sqref="H18">
    <cfRule type="colorScale" priority="14">
      <colorScale>
        <cfvo type="min"/>
        <cfvo type="max"/>
        <color rgb="FFFCFCFF"/>
        <color rgb="FFF8696B"/>
      </colorScale>
    </cfRule>
  </conditionalFormatting>
  <conditionalFormatting sqref="H21">
    <cfRule type="colorScale" priority="12">
      <colorScale>
        <cfvo type="min"/>
        <cfvo type="max"/>
        <color rgb="FFFCFCFF"/>
        <color rgb="FFF8696B"/>
      </colorScale>
    </cfRule>
  </conditionalFormatting>
  <conditionalFormatting sqref="H24">
    <cfRule type="colorScale" priority="5">
      <colorScale>
        <cfvo type="min"/>
        <cfvo type="max"/>
        <color rgb="FFFCFCFF"/>
        <color rgb="FFF8696B"/>
      </colorScale>
    </cfRule>
  </conditionalFormatting>
  <conditionalFormatting sqref="H22:I22">
    <cfRule type="colorScale" priority="28">
      <colorScale>
        <cfvo type="min"/>
        <cfvo type="max"/>
        <color rgb="FFF8696B"/>
        <color rgb="FFFCFCFF"/>
      </colorScale>
    </cfRule>
  </conditionalFormatting>
  <conditionalFormatting sqref="I7">
    <cfRule type="colorScale" priority="2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21">
    <cfRule type="colorScale" priority="10">
      <colorScale>
        <cfvo type="min"/>
        <cfvo type="max"/>
        <color rgb="FFFCFCFF"/>
        <color rgb="FFF8696B"/>
      </colorScale>
    </cfRule>
  </conditionalFormatting>
  <conditionalFormatting sqref="I23">
    <cfRule type="colorScale" priority="2">
      <colorScale>
        <cfvo type="min"/>
        <cfvo type="max"/>
        <color rgb="FFF8696B"/>
        <color rgb="FFFCFCFF"/>
      </colorScale>
    </cfRule>
  </conditionalFormatting>
  <conditionalFormatting sqref="I24">
    <cfRule type="colorScale" priority="4">
      <colorScale>
        <cfvo type="min"/>
        <cfvo type="max"/>
        <color rgb="FFFCFCFF"/>
        <color rgb="FFF8696B"/>
      </colorScale>
    </cfRule>
  </conditionalFormatting>
  <conditionalFormatting sqref="I30">
    <cfRule type="colorScale" priority="23">
      <colorScale>
        <cfvo type="min"/>
        <cfvo type="max"/>
        <color rgb="FFF8696B"/>
        <color rgb="FFFCFCFF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 xr2:uid="{0D8C9D3B-5FD5-427A-A980-214DD2822920}">
          <x14:colorSeries theme="2" tint="-0.249977111117893"/>
          <x14:colorNegative rgb="FFD00000"/>
          <x14:colorAxis rgb="FF000000"/>
          <x14:colorMarkers rgb="FFD00000"/>
          <x14:colorFirst rgb="FFD00000"/>
          <x14:colorLast rgb="FFD00000"/>
          <x14:colorHigh theme="9" tint="-0.499984740745262"/>
          <x14:colorLow rgb="FFD00000"/>
          <x14:sparklines>
            <x14:sparkline>
              <xm:f>Sheet1!C2:E2</xm:f>
              <xm:sqref>F2</xm:sqref>
            </x14:sparkline>
            <x14:sparkline>
              <xm:f>Sheet1!C3:E3</xm:f>
              <xm:sqref>F3</xm:sqref>
            </x14:sparkline>
            <x14:sparkline>
              <xm:f>Sheet1!C4:E4</xm:f>
              <xm:sqref>F4</xm:sqref>
            </x14:sparkline>
            <x14:sparkline>
              <xm:f>Sheet1!C5:E5</xm:f>
              <xm:sqref>F5</xm:sqref>
            </x14:sparkline>
            <x14:sparkline>
              <xm:f>Sheet1!C6:E6</xm:f>
              <xm:sqref>F6</xm:sqref>
            </x14:sparkline>
            <x14:sparkline>
              <xm:f>Sheet1!C7:E7</xm:f>
              <xm:sqref>F7</xm:sqref>
            </x14:sparkline>
            <x14:sparkline>
              <xm:f>Sheet1!C8:E8</xm:f>
              <xm:sqref>F8</xm:sqref>
            </x14:sparkline>
            <x14:sparkline>
              <xm:f>Sheet1!C9:E9</xm:f>
              <xm:sqref>F9</xm:sqref>
            </x14:sparkline>
            <x14:sparkline>
              <xm:f>Sheet1!C10:E10</xm:f>
              <xm:sqref>F10</xm:sqref>
            </x14:sparkline>
            <x14:sparkline>
              <xm:f>Sheet1!C11:E11</xm:f>
              <xm:sqref>F11</xm:sqref>
            </x14:sparkline>
            <x14:sparkline>
              <xm:f>Sheet1!C12:E12</xm:f>
              <xm:sqref>F12</xm:sqref>
            </x14:sparkline>
            <x14:sparkline>
              <xm:f>Sheet1!C13:E13</xm:f>
              <xm:sqref>F13</xm:sqref>
            </x14:sparkline>
            <x14:sparkline>
              <xm:f>Sheet1!C14:E14</xm:f>
              <xm:sqref>F14</xm:sqref>
            </x14:sparkline>
            <x14:sparkline>
              <xm:f>Sheet1!C15:E15</xm:f>
              <xm:sqref>F15</xm:sqref>
            </x14:sparkline>
            <x14:sparkline>
              <xm:f>Sheet1!C16:E16</xm:f>
              <xm:sqref>F16</xm:sqref>
            </x14:sparkline>
            <x14:sparkline>
              <xm:f>Sheet1!C17:E17</xm:f>
              <xm:sqref>F17</xm:sqref>
            </x14:sparkline>
            <x14:sparkline>
              <xm:f>Sheet1!C18:E18</xm:f>
              <xm:sqref>F18</xm:sqref>
            </x14:sparkline>
            <x14:sparkline>
              <xm:f>Sheet1!C19:E19</xm:f>
              <xm:sqref>F19</xm:sqref>
            </x14:sparkline>
            <x14:sparkline>
              <xm:f>Sheet1!C20:E20</xm:f>
              <xm:sqref>F20</xm:sqref>
            </x14:sparkline>
            <x14:sparkline>
              <xm:f>Sheet1!C21:E21</xm:f>
              <xm:sqref>F21</xm:sqref>
            </x14:sparkline>
            <x14:sparkline>
              <xm:f>Sheet1!C22:E22</xm:f>
              <xm:sqref>F22</xm:sqref>
            </x14:sparkline>
            <x14:sparkline>
              <xm:f>Sheet1!C23:E23</xm:f>
              <xm:sqref>F23</xm:sqref>
            </x14:sparkline>
            <x14:sparkline>
              <xm:f>Sheet1!C24:E24</xm:f>
              <xm:sqref>F24</xm:sqref>
            </x14:sparkline>
            <x14:sparkline>
              <xm:f>Sheet1!C25:E25</xm:f>
              <xm:sqref>F25</xm:sqref>
            </x14:sparkline>
            <x14:sparkline>
              <xm:f>Sheet1!C26:E26</xm:f>
              <xm:sqref>F26</xm:sqref>
            </x14:sparkline>
            <x14:sparkline>
              <xm:f>Sheet1!C27:E27</xm:f>
              <xm:sqref>F27</xm:sqref>
            </x14:sparkline>
            <x14:sparkline>
              <xm:f>Sheet1!C28:E28</xm:f>
              <xm:sqref>F28</xm:sqref>
            </x14:sparkline>
            <x14:sparkline>
              <xm:f>Sheet1!C29:E29</xm:f>
              <xm:sqref>F29</xm:sqref>
            </x14:sparkline>
            <x14:sparkline>
              <xm:f>Sheet1!C30:E30</xm:f>
              <xm:sqref>F30</xm:sqref>
            </x14:sparkline>
            <x14:sparkline>
              <xm:f>Sheet1!C31:E31</xm:f>
              <xm:sqref>F31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Arkajyoti Basu Ray</dc:creator>
  <cp:lastModifiedBy>Arkajyoti Basu Ray</cp:lastModifiedBy>
  <dcterms:created xsi:type="dcterms:W3CDTF">2015-06-05T18:17:20Z</dcterms:created>
  <dcterms:modified xsi:type="dcterms:W3CDTF">2026-05-01T19:36:04Z</dcterms:modified>
</cp:coreProperties>
</file>